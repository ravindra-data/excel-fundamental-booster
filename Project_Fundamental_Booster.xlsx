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e2d5982f128ba63/Documents/Excel/"/>
    </mc:Choice>
  </mc:AlternateContent>
  <xr:revisionPtr revIDLastSave="1816" documentId="8_{571A34F8-A0C5-45C6-B4AD-0DC6BE6C32B3}" xr6:coauthVersionLast="47" xr6:coauthVersionMax="47" xr10:uidLastSave="{9A3F01FB-DB26-4077-B6D0-73757B457917}"/>
  <bookViews>
    <workbookView xWindow="-108" yWindow="-108" windowWidth="23256" windowHeight="12456" xr2:uid="{F549D2C2-0A5A-431E-B6DE-79E412056E63}"/>
  </bookViews>
  <sheets>
    <sheet name="Student_Grade" sheetId="1" r:id="rId1"/>
    <sheet name="Employees_data" sheetId="3" r:id="rId2"/>
    <sheet name="Sales_dat" sheetId="4" r:id="rId3"/>
  </sheets>
  <definedNames>
    <definedName name="_xlnm._FilterDatabase" localSheetId="0" hidden="1">Student_Grade!$N$18:$N$19</definedName>
    <definedName name="_xlnm.Print_Area" localSheetId="1">Employees_data!$A$1:$P$23</definedName>
    <definedName name="_xlnm.Print_Area" localSheetId="0">Student_Grade!$A$1:$S$26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 l="1" a="1"/>
  <c r="N22" i="1" s="1"/>
  <c r="Q29" i="4"/>
  <c r="Q28" i="4"/>
  <c r="Q27" i="4"/>
  <c r="Q26" i="4"/>
  <c r="U25" i="4"/>
  <c r="Q25" i="4"/>
  <c r="J23" i="4"/>
  <c r="K23" i="4" s="1" a="1"/>
  <c r="K23" i="4" s="1"/>
  <c r="I23" i="4"/>
  <c r="H23" i="4"/>
  <c r="Q22" i="4"/>
  <c r="J22" i="4"/>
  <c r="K22" i="4" s="1" a="1"/>
  <c r="K22" i="4" s="1"/>
  <c r="I22" i="4"/>
  <c r="H22" i="4"/>
  <c r="J21" i="4"/>
  <c r="K21" i="4" s="1" a="1"/>
  <c r="K21" i="4" s="1"/>
  <c r="I21" i="4"/>
  <c r="H21" i="4"/>
  <c r="U20" i="4"/>
  <c r="U21" i="4" s="1"/>
  <c r="J20" i="4"/>
  <c r="K20" i="4" s="1" a="1"/>
  <c r="K20" i="4" s="1"/>
  <c r="I20" i="4"/>
  <c r="H20" i="4"/>
  <c r="J19" i="4"/>
  <c r="K19" i="4" s="1" a="1"/>
  <c r="K19" i="4" s="1"/>
  <c r="I19" i="4"/>
  <c r="H19" i="4"/>
  <c r="P18" i="4"/>
  <c r="R18" i="4" s="1"/>
  <c r="K18" i="4" a="1"/>
  <c r="K18" i="4" s="1"/>
  <c r="J18" i="4"/>
  <c r="I18" i="4"/>
  <c r="H18" i="4"/>
  <c r="U17" i="4"/>
  <c r="K17" i="4" a="1"/>
  <c r="K17" i="4" s="1"/>
  <c r="J17" i="4"/>
  <c r="I17" i="4"/>
  <c r="H17" i="4"/>
  <c r="J16" i="4"/>
  <c r="K16" i="4" s="1" a="1"/>
  <c r="K16" i="4" s="1"/>
  <c r="I16" i="4"/>
  <c r="H16" i="4"/>
  <c r="R15" i="4"/>
  <c r="Q15" i="4"/>
  <c r="J15" i="4"/>
  <c r="K15" i="4" s="1" a="1"/>
  <c r="K15" i="4" s="1"/>
  <c r="I15" i="4"/>
  <c r="H15" i="4"/>
  <c r="R14" i="4"/>
  <c r="Q14" i="4"/>
  <c r="J14" i="4"/>
  <c r="K14" i="4" s="1" a="1"/>
  <c r="K14" i="4" s="1"/>
  <c r="I14" i="4"/>
  <c r="H14" i="4"/>
  <c r="U13" i="4"/>
  <c r="R13" i="4"/>
  <c r="Q13" i="4"/>
  <c r="K13" i="4" a="1"/>
  <c r="K13" i="4" s="1"/>
  <c r="J13" i="4"/>
  <c r="I13" i="4"/>
  <c r="H13" i="4"/>
  <c r="U12" i="4"/>
  <c r="K12" i="4" a="1"/>
  <c r="K12" i="4" s="1"/>
  <c r="J12" i="4"/>
  <c r="I12" i="4"/>
  <c r="H12" i="4"/>
  <c r="U11" i="4"/>
  <c r="J11" i="4"/>
  <c r="K11" i="4" s="1" a="1"/>
  <c r="K11" i="4" s="1"/>
  <c r="I11" i="4"/>
  <c r="H11" i="4"/>
  <c r="U10" i="4"/>
  <c r="J10" i="4"/>
  <c r="K10" i="4" s="1" a="1"/>
  <c r="K10" i="4" s="1"/>
  <c r="I10" i="4"/>
  <c r="H10" i="4"/>
  <c r="R9" i="4"/>
  <c r="K9" i="4" a="1"/>
  <c r="K9" i="4" s="1"/>
  <c r="J9" i="4"/>
  <c r="I9" i="4"/>
  <c r="H9" i="4"/>
  <c r="R8" i="4"/>
  <c r="K8" i="4" a="1"/>
  <c r="K8" i="4" s="1"/>
  <c r="J8" i="4"/>
  <c r="I8" i="4"/>
  <c r="H8" i="4"/>
  <c r="U7" i="4"/>
  <c r="R7" i="4"/>
  <c r="K7" i="4" a="1"/>
  <c r="K7" i="4" s="1"/>
  <c r="J7" i="4"/>
  <c r="I7" i="4"/>
  <c r="H7" i="4"/>
  <c r="U6" i="4"/>
  <c r="R6" i="4"/>
  <c r="J6" i="4"/>
  <c r="K6" i="4" s="1" a="1"/>
  <c r="K6" i="4" s="1"/>
  <c r="I6" i="4"/>
  <c r="H6" i="4"/>
  <c r="U5" i="4"/>
  <c r="R5" i="4"/>
  <c r="J5" i="4"/>
  <c r="K5" i="4" s="1" a="1"/>
  <c r="K5" i="4" s="1"/>
  <c r="I5" i="4"/>
  <c r="H5" i="4"/>
  <c r="U4" i="4"/>
  <c r="K4" i="4" a="1"/>
  <c r="K4" i="4" s="1"/>
  <c r="J4" i="4"/>
  <c r="I4" i="4"/>
  <c r="H4" i="4"/>
  <c r="O16" i="3"/>
  <c r="O18" i="3"/>
  <c r="O15" i="3"/>
  <c r="O17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L12" i="3"/>
  <c r="O12" i="3"/>
  <c r="O11" i="3"/>
  <c r="O10" i="3"/>
  <c r="O9" i="3"/>
  <c r="N12" i="3"/>
  <c r="N11" i="3"/>
  <c r="N10" i="3"/>
  <c r="N9" i="3"/>
  <c r="O6" i="3"/>
  <c r="O4" i="3"/>
  <c r="O5" i="3"/>
  <c r="O3" i="3"/>
  <c r="L7" i="3"/>
  <c r="L8" i="3" s="1"/>
  <c r="L9" i="3" s="1"/>
  <c r="L4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G4" i="1"/>
  <c r="H4" i="1" s="1"/>
  <c r="G5" i="1"/>
  <c r="H5" i="1" s="1"/>
  <c r="G6" i="1"/>
  <c r="H6" i="1" s="1"/>
  <c r="I6" i="1" s="1"/>
  <c r="G7" i="1"/>
  <c r="H7" i="1" s="1"/>
  <c r="G8" i="1"/>
  <c r="H8" i="1" s="1"/>
  <c r="I8" i="1" s="1"/>
  <c r="G9" i="1"/>
  <c r="H9" i="1" s="1"/>
  <c r="I9" i="1" s="1"/>
  <c r="G10" i="1"/>
  <c r="H10" i="1" s="1"/>
  <c r="G11" i="1"/>
  <c r="H11" i="1" s="1"/>
  <c r="G12" i="1"/>
  <c r="H12" i="1" s="1"/>
  <c r="I12" i="1" s="1"/>
  <c r="G13" i="1"/>
  <c r="H13" i="1" s="1"/>
  <c r="G14" i="1"/>
  <c r="H14" i="1" s="1"/>
  <c r="I14" i="1" s="1"/>
  <c r="G15" i="1"/>
  <c r="H15" i="1" s="1"/>
  <c r="I15" i="1" s="1"/>
  <c r="G16" i="1"/>
  <c r="H16" i="1" s="1"/>
  <c r="G17" i="1"/>
  <c r="H17" i="1" s="1"/>
  <c r="G18" i="1"/>
  <c r="H18" i="1" s="1"/>
  <c r="G19" i="1"/>
  <c r="H19" i="1" s="1"/>
  <c r="I19" i="1" s="1"/>
  <c r="G20" i="1"/>
  <c r="H20" i="1" s="1"/>
  <c r="G21" i="1"/>
  <c r="H21" i="1" s="1"/>
  <c r="I21" i="1" s="1"/>
  <c r="G22" i="1"/>
  <c r="H22" i="1" s="1"/>
  <c r="I22" i="1" s="1"/>
  <c r="G23" i="1"/>
  <c r="H23" i="1" s="1"/>
  <c r="I23" i="1" s="1"/>
  <c r="Q5" i="1" s="1"/>
  <c r="O11" i="1"/>
  <c r="N15" i="1"/>
  <c r="O4" i="1"/>
  <c r="O5" i="1"/>
  <c r="O6" i="1"/>
  <c r="R17" i="1"/>
  <c r="R16" i="1"/>
  <c r="R15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L13" i="3" a="1"/>
  <c r="U26" i="4" a="1"/>
  <c r="U26" i="4" l="1"/>
  <c r="M11" i="4"/>
  <c r="N11" i="4"/>
  <c r="L11" i="4"/>
  <c r="M22" i="4"/>
  <c r="L22" i="4"/>
  <c r="N22" i="4"/>
  <c r="M4" i="4"/>
  <c r="N4" i="4"/>
  <c r="L4" i="4"/>
  <c r="L16" i="4"/>
  <c r="N16" i="4"/>
  <c r="M16" i="4"/>
  <c r="N19" i="4"/>
  <c r="M19" i="4"/>
  <c r="L19" i="4"/>
  <c r="N15" i="4"/>
  <c r="M15" i="4"/>
  <c r="L15" i="4"/>
  <c r="N13" i="4"/>
  <c r="M13" i="4"/>
  <c r="L13" i="4"/>
  <c r="N9" i="4"/>
  <c r="L9" i="4"/>
  <c r="M9" i="4"/>
  <c r="L20" i="4"/>
  <c r="N20" i="4"/>
  <c r="M20" i="4"/>
  <c r="N14" i="4"/>
  <c r="M14" i="4"/>
  <c r="L14" i="4"/>
  <c r="L7" i="4"/>
  <c r="N7" i="4"/>
  <c r="M7" i="4"/>
  <c r="N12" i="4"/>
  <c r="L12" i="4"/>
  <c r="M12" i="4"/>
  <c r="N23" i="4"/>
  <c r="M23" i="4"/>
  <c r="L23" i="4"/>
  <c r="N5" i="4"/>
  <c r="M5" i="4"/>
  <c r="L5" i="4"/>
  <c r="L17" i="4"/>
  <c r="N17" i="4"/>
  <c r="M17" i="4"/>
  <c r="N10" i="4"/>
  <c r="M10" i="4"/>
  <c r="L10" i="4"/>
  <c r="M21" i="4"/>
  <c r="L21" i="4"/>
  <c r="N21" i="4"/>
  <c r="L6" i="4"/>
  <c r="N6" i="4"/>
  <c r="M6" i="4"/>
  <c r="N8" i="4"/>
  <c r="L8" i="4"/>
  <c r="M8" i="4"/>
  <c r="N18" i="4"/>
  <c r="M18" i="4"/>
  <c r="L18" i="4"/>
  <c r="Q18" i="4"/>
  <c r="L13" i="3"/>
  <c r="I13" i="1"/>
  <c r="Q4" i="1" s="1"/>
  <c r="I4" i="1"/>
  <c r="Q6" i="1" s="1"/>
  <c r="I20" i="1"/>
  <c r="I18" i="1"/>
  <c r="I11" i="1"/>
  <c r="I10" i="1"/>
  <c r="I16" i="1"/>
  <c r="I17" i="1"/>
  <c r="I7" i="1"/>
  <c r="I5" i="1"/>
  <c r="Q10" i="1" a="1"/>
  <c r="Q10" i="1" s="1"/>
  <c r="P6" i="1"/>
  <c r="P5" i="1"/>
  <c r="P4" i="1"/>
  <c r="N19" i="1"/>
  <c r="J23" i="1"/>
  <c r="J13" i="1"/>
  <c r="J14" i="1"/>
  <c r="J11" i="1"/>
  <c r="J12" i="1"/>
  <c r="J22" i="1"/>
  <c r="J10" i="1"/>
  <c r="J21" i="1"/>
  <c r="J9" i="1"/>
  <c r="J20" i="1"/>
  <c r="J8" i="1"/>
  <c r="J19" i="1"/>
  <c r="J7" i="1"/>
  <c r="J18" i="1"/>
  <c r="J6" i="1"/>
  <c r="J5" i="1"/>
  <c r="J17" i="1"/>
  <c r="J16" i="1"/>
  <c r="J4" i="1"/>
  <c r="J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<sst xmlns="http://schemas.openxmlformats.org/spreadsheetml/2006/main" count="253" uniqueCount="159">
  <si>
    <t xml:space="preserve">NESTED IF </t>
  </si>
  <si>
    <t xml:space="preserve">IF </t>
  </si>
  <si>
    <t>IF(AND)</t>
  </si>
  <si>
    <t>IF(OR)</t>
  </si>
  <si>
    <t>Student ID</t>
  </si>
  <si>
    <t>Name</t>
  </si>
  <si>
    <t>Math</t>
  </si>
  <si>
    <t>Science</t>
  </si>
  <si>
    <t>English</t>
  </si>
  <si>
    <t>Enrollment Date</t>
  </si>
  <si>
    <t>Total Grade</t>
  </si>
  <si>
    <t>Percentage</t>
  </si>
  <si>
    <t>Grade</t>
  </si>
  <si>
    <t>Result(Pass/Fail)</t>
  </si>
  <si>
    <t>Both above 80%</t>
  </si>
  <si>
    <t>Either above 80%</t>
  </si>
  <si>
    <t>Student 1</t>
  </si>
  <si>
    <t>Student 2</t>
  </si>
  <si>
    <t>Student 3</t>
  </si>
  <si>
    <t>Student 4</t>
  </si>
  <si>
    <t>Student 5</t>
  </si>
  <si>
    <t>VLOOKUP CELL</t>
  </si>
  <si>
    <t>FILTER</t>
  </si>
  <si>
    <t>Student 6</t>
  </si>
  <si>
    <t>TABLE1</t>
  </si>
  <si>
    <t>Students grades &gt; 80</t>
  </si>
  <si>
    <t>Student 7</t>
  </si>
  <si>
    <t>Student 8</t>
  </si>
  <si>
    <t>Student 9</t>
  </si>
  <si>
    <t>Student 10</t>
  </si>
  <si>
    <t>COUNT IF /IFS</t>
  </si>
  <si>
    <t>Student 11</t>
  </si>
  <si>
    <t>Score &gt;50 (Math)</t>
  </si>
  <si>
    <t>MAXIMUM MARKS IN DIFF SUBJECTS</t>
  </si>
  <si>
    <t>Student 12</t>
  </si>
  <si>
    <t>Student 13</t>
  </si>
  <si>
    <t>Student 14</t>
  </si>
  <si>
    <t xml:space="preserve">AVERAGE IF </t>
  </si>
  <si>
    <t>Student 15</t>
  </si>
  <si>
    <t>Average Score &gt; 60</t>
  </si>
  <si>
    <t>Student 16</t>
  </si>
  <si>
    <t>Student 17</t>
  </si>
  <si>
    <t>Student 18</t>
  </si>
  <si>
    <t>Topper in class</t>
  </si>
  <si>
    <t>Student 19</t>
  </si>
  <si>
    <t>Student 20</t>
  </si>
  <si>
    <t>Employee ID</t>
  </si>
  <si>
    <t>Department</t>
  </si>
  <si>
    <t>Salary</t>
  </si>
  <si>
    <t>Joining Date</t>
  </si>
  <si>
    <t>Year of Service</t>
  </si>
  <si>
    <t>Days since joining</t>
  </si>
  <si>
    <t>Joining Month</t>
  </si>
  <si>
    <t>Employee 1</t>
  </si>
  <si>
    <t>Finance</t>
  </si>
  <si>
    <t>XLOOKUP</t>
  </si>
  <si>
    <t>SUMIF (Department total salary)</t>
  </si>
  <si>
    <t>Total Salary</t>
  </si>
  <si>
    <t>Employee 2</t>
  </si>
  <si>
    <t>Employee 3</t>
  </si>
  <si>
    <t>HR</t>
  </si>
  <si>
    <t>IT</t>
  </si>
  <si>
    <t>Employee 4</t>
  </si>
  <si>
    <t>Employee 5</t>
  </si>
  <si>
    <t xml:space="preserve">Employee ID </t>
  </si>
  <si>
    <t>Marketing</t>
  </si>
  <si>
    <t>Employee 6</t>
  </si>
  <si>
    <t xml:space="preserve"> Name</t>
  </si>
  <si>
    <t>Employee 7</t>
  </si>
  <si>
    <t>COUNIFS Department salary&gt;100000</t>
  </si>
  <si>
    <t>Count</t>
  </si>
  <si>
    <t>Employee 8</t>
  </si>
  <si>
    <t>Employee 9</t>
  </si>
  <si>
    <t>Employee 10</t>
  </si>
  <si>
    <t>OFFSET/INDIRECT</t>
  </si>
  <si>
    <t>Employee 11</t>
  </si>
  <si>
    <t xml:space="preserve">Value 1 row below </t>
  </si>
  <si>
    <t>Employee 12</t>
  </si>
  <si>
    <t>Reference Cell Via INDIRECT</t>
  </si>
  <si>
    <t>Employee 13</t>
  </si>
  <si>
    <t>Average Salary by Department</t>
  </si>
  <si>
    <t>Average Salary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</si>
  <si>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</si>
  <si>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</si>
  <si>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</si>
  <si>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</si>
  <si>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</si>
  <si>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</si>
  <si>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</si>
  <si>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Sales ID</t>
  </si>
  <si>
    <t>Product</t>
  </si>
  <si>
    <t>Region</t>
  </si>
  <si>
    <t>Salesperson</t>
  </si>
  <si>
    <t>Amount</t>
  </si>
  <si>
    <t>Date</t>
  </si>
  <si>
    <t>Month</t>
  </si>
  <si>
    <t>Day</t>
  </si>
  <si>
    <t>Discount</t>
  </si>
  <si>
    <t>Discount Amount</t>
  </si>
  <si>
    <t>Round (Total,0)</t>
  </si>
  <si>
    <t>Ceiling (Total,100)</t>
  </si>
  <si>
    <t>Floor (total,100)</t>
  </si>
  <si>
    <t>Product Price Table</t>
  </si>
  <si>
    <t>Total Sales of Regions and Keyboard Product</t>
  </si>
  <si>
    <t>Keyboard</t>
  </si>
  <si>
    <t>South</t>
  </si>
  <si>
    <t>Person 1</t>
  </si>
  <si>
    <t>Product Code</t>
  </si>
  <si>
    <t>Product Name</t>
  </si>
  <si>
    <t>Price</t>
  </si>
  <si>
    <t>East</t>
  </si>
  <si>
    <t>Printer</t>
  </si>
  <si>
    <t>West</t>
  </si>
  <si>
    <t>Person 2</t>
  </si>
  <si>
    <t>P004</t>
  </si>
  <si>
    <t>Monitor</t>
  </si>
  <si>
    <t>North</t>
  </si>
  <si>
    <t>Mouse</t>
  </si>
  <si>
    <t>Person 3</t>
  </si>
  <si>
    <t>P005</t>
  </si>
  <si>
    <t>Laptop</t>
  </si>
  <si>
    <t>Person 4</t>
  </si>
  <si>
    <t>P001</t>
  </si>
  <si>
    <t>Person 5</t>
  </si>
  <si>
    <t>P002</t>
  </si>
  <si>
    <t>Person 6</t>
  </si>
  <si>
    <t>P003</t>
  </si>
  <si>
    <t>Total sale by Region's</t>
  </si>
  <si>
    <t>Person 7</t>
  </si>
  <si>
    <t>Person 8</t>
  </si>
  <si>
    <t>Retrieve Price by Code</t>
  </si>
  <si>
    <t>Person 9</t>
  </si>
  <si>
    <t>Product code</t>
  </si>
  <si>
    <t xml:space="preserve">Price </t>
  </si>
  <si>
    <t>Person 10</t>
  </si>
  <si>
    <t>Person 11</t>
  </si>
  <si>
    <t>Person 12</t>
  </si>
  <si>
    <t xml:space="preserve">VLOOKUP </t>
  </si>
  <si>
    <t>Person 13</t>
  </si>
  <si>
    <t>Person 14</t>
  </si>
  <si>
    <t>Text Left</t>
  </si>
  <si>
    <t>Upper Case</t>
  </si>
  <si>
    <t>Lower Case</t>
  </si>
  <si>
    <t>Product Price</t>
  </si>
  <si>
    <t>Person 15</t>
  </si>
  <si>
    <t>Person 16</t>
  </si>
  <si>
    <t>Person 18</t>
  </si>
  <si>
    <t>INDEX MATCH</t>
  </si>
  <si>
    <t>Sales Person of Sales ID</t>
  </si>
  <si>
    <t>Person 17</t>
  </si>
  <si>
    <t xml:space="preserve">Product by Sales Person  </t>
  </si>
  <si>
    <t>Person 19</t>
  </si>
  <si>
    <t>Sales Person</t>
  </si>
  <si>
    <t>Person 20</t>
  </si>
  <si>
    <t>XMATCH ( POSITION OF PRODUCTS)</t>
  </si>
  <si>
    <t>OFFSET / INDIRECT</t>
  </si>
  <si>
    <t>Value 2 rows below B6</t>
  </si>
  <si>
    <t>Reference cell B6 via INDIRECT</t>
  </si>
  <si>
    <t>XLOOKUP (MULTIPLE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</si>
</sst>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0.0"/>
    <numFmt numFmtId="166" formatCode="&quot;₹&quot;\ #,##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0">
    <xf numFmtId="0" fontId="0" fillId="0" borderId="0" xfId="0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2" fontId="5" fillId="0" borderId="0" xfId="0" applyNumberFormat="1" applyFont="1"/>
    <xf numFmtId="0" fontId="4" fillId="3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  <xf numFmtId="2" fontId="6" fillId="2" borderId="5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/>
    <xf numFmtId="164" fontId="0" fillId="0" borderId="0" xfId="0" applyNumberFormat="1"/>
    <xf numFmtId="2" fontId="5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5" fillId="8" borderId="1" xfId="0" applyNumberFormat="1" applyFont="1" applyFill="1" applyBorder="1" applyAlignment="1">
      <alignment horizontal="center" vertical="center"/>
    </xf>
    <xf numFmtId="2" fontId="5" fillId="8" borderId="1" xfId="1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8" borderId="1" xfId="0" applyNumberFormat="1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2" fillId="6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2" fillId="6" borderId="8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4" fontId="2" fillId="6" borderId="10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64" fontId="2" fillId="6" borderId="11" xfId="0" applyNumberFormat="1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" fillId="6" borderId="0" xfId="0" applyNumberFormat="1" applyFont="1" applyFill="1" applyAlignment="1">
      <alignment horizontal="center" vertical="center" wrapText="1"/>
    </xf>
    <xf numFmtId="14" fontId="2" fillId="12" borderId="0" xfId="0" applyNumberFormat="1" applyFont="1" applyFill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14" fontId="2" fillId="12" borderId="10" xfId="0" applyNumberFormat="1" applyFont="1" applyFill="1" applyBorder="1" applyAlignment="1">
      <alignment horizontal="center" vertical="center" wrapText="1"/>
    </xf>
    <xf numFmtId="1" fontId="2" fillId="12" borderId="0" xfId="0" applyNumberFormat="1" applyFont="1" applyFill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0" fillId="13" borderId="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5" fillId="0" borderId="0" xfId="0" applyNumberFormat="1" applyFont="1"/>
    <xf numFmtId="14" fontId="6" fillId="2" borderId="6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2" fontId="5" fillId="9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2" fillId="12" borderId="9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1" fontId="4" fillId="5" borderId="3" xfId="0" applyNumberFormat="1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1" fontId="4" fillId="5" borderId="7" xfId="0" applyNumberFormat="1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\ 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family val="2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" formatCode="0"/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1" formatCode="0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&quot;₹&quot;\ #,##0.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\ 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72F2A-2378-49F0-A623-1B3ABE76F4DB}" name="Table1" displayName="Table1" ref="A3:L23" totalsRowShown="0" headerRowDxfId="43" dataDxfId="41" headerRowBorderDxfId="42" tableBorderDxfId="40" totalsRowBorderDxfId="39">
  <autoFilter ref="A3:L23" xr:uid="{48372F2A-2378-49F0-A623-1B3ABE76F4DB}"/>
  <tableColumns count="12">
    <tableColumn id="1" xr3:uid="{83D748B8-2C88-4032-83E5-A0A5FA69841C}" name="Student ID" dataDxfId="38"/>
    <tableColumn id="2" xr3:uid="{B890EAE5-E498-43B0-AD0F-4B40F559F631}" name="Name" dataDxfId="37"/>
    <tableColumn id="3" xr3:uid="{48AED8D0-3058-43EA-A930-F833329336E9}" name="Math" dataDxfId="36"/>
    <tableColumn id="4" xr3:uid="{AF956541-8EC4-40EF-A673-2F25C8B21E54}" name="Science" dataDxfId="35"/>
    <tableColumn id="5" xr3:uid="{2F469C3D-E2AC-464F-A69F-1C4F88A668EF}" name="English" dataDxfId="34"/>
    <tableColumn id="6" xr3:uid="{BF4AE1E0-40E9-4C8A-91D5-6DFA09B587FC}" name="Enrollment Date" dataDxfId="33"/>
    <tableColumn id="7" xr3:uid="{4C496CE8-5937-4BBC-A160-E6FC8D4B35F1}" name="Total Grade" dataDxfId="32">
      <calculatedColumnFormula>SUM(Table1[[#This Row],[Math]],Table1[[#This Row],[Science]],Table1[[#This Row],[English]])</calculatedColumnFormula>
    </tableColumn>
    <tableColumn id="8" xr3:uid="{CCDB67FB-DD73-4100-A266-C4DE0B3FA19F}" name="Percentage" dataDxfId="31">
      <calculatedColumnFormula>(Table1[[#This Row],[Total Grade]]/300)*100</calculatedColumnFormula>
    </tableColumn>
    <tableColumn id="9" xr3:uid="{9948C8AB-4273-4D84-B4CF-1C9D7241CBA3}" name="Grade" dataDxfId="30">
      <calculatedColumnFormula>IF(Table1[[#This Row],[Percentage]]&gt;=85,"A",IF(Table1[[#This Row],[Percentage]]&gt;=70,"B",IF(Table1[[#This Row],[Percentage]]&gt;=55,"C",IF(Table1[[#This Row],[Percentage]]&gt;=40,"D","E"))))</calculatedColumnFormula>
    </tableColumn>
    <tableColumn id="10" xr3:uid="{64A791E2-7B2C-44AB-868D-C095020F7D07}" name="Result(Pass/Fail)" dataDxfId="29">
      <calculatedColumnFormula>IF(Table1[[#This Row],[Percentage]]&gt;=40,"Pass","Fail")</calculatedColumnFormula>
    </tableColumn>
    <tableColumn id="11" xr3:uid="{72C980A6-BA26-4489-8053-82F0C2B2348B}" name="Both above 80%" dataDxfId="28">
      <calculatedColumnFormula>IF(AND(Table1[[#This Row],[Math]]&gt;80,Table1[[#This Row],[Science]]&gt;80),"Yes","No")</calculatedColumnFormula>
    </tableColumn>
    <tableColumn id="12" xr3:uid="{5A05323E-2985-4379-B682-796637582152}" name="Either above 80%" dataDxfId="27">
      <calculatedColumnFormula>IF(OR(Table1[[#This Row],[Math]]&gt;80,Table1[[#This Row],[Science]]&gt;80),"Yes","No")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E1F1EE-0D57-4465-819E-641E89002AB6}" name="Table2" displayName="Table2" ref="N14:N15" totalsRowShown="0" headerRowDxfId="26" dataDxfId="24" headerRowBorderDxfId="25" tableBorderDxfId="23" totalsRowBorderDxfId="22">
  <tableColumns count="1">
    <tableColumn id="1" xr3:uid="{8BCEF92D-9666-45E1-8AC4-57171D46788D}" name="Score &gt;50 (Math)" dataDxfId="21">
      <calculatedColumnFormula>COUNTIF(Table1[Math],"&gt;50")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F6B7B9-FD00-4A1C-8347-2422B97F054E}" name="Table3" displayName="Table3" ref="N3:Q6" totalsRowShown="0" headerRowDxfId="20" dataDxfId="18" headerRowBorderDxfId="19" tableBorderDxfId="17" totalsRowBorderDxfId="16">
  <autoFilter ref="N3:Q6" xr:uid="{05F6B7B9-FD00-4A1C-8347-2422B97F054E}"/>
  <tableColumns count="4">
    <tableColumn id="1" xr3:uid="{72401F6E-D865-4D43-93BF-FE6D2A9FC51C}" name="Student ID" dataDxfId="15"/>
    <tableColumn id="2" xr3:uid="{5365FA39-B17F-4FDC-9C00-5FD5891C8209}" name="Name" dataDxfId="14">
      <calculatedColumnFormula>_xlfn.XLOOKUP(Table3[[#This Row],[Student ID]],Table1[Student ID],Table1[Name],"no data",0)</calculatedColumnFormula>
    </tableColumn>
    <tableColumn id="4" xr3:uid="{3C5C4E71-7301-435F-B4A2-00908682EDBB}" name="Percentage" dataDxfId="13">
      <calculatedColumnFormula>_xlfn.XLOOKUP(Table3[[#This Row],[Student ID]],Table1[Student ID],Table1[Percentage],"no data",0)</calculatedColumnFormula>
    </tableColumn>
    <tableColumn id="5" xr3:uid="{D55C6187-382E-463B-9779-0CE0DC4CEE39}" name="Grade" dataDxfId="12">
      <calculatedColumnFormula>_xlfn.XLOOKUP(Table3[[#This Row],[Student ID]],Table1[Student ID],Table1[Grade],"no data",0)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344F68-6AC0-42C5-90F9-0D4C35F644FA}" name="Table5" displayName="Table5" ref="A1:H21" totalsRowShown="0" headerRowDxfId="11" headerRowBorderDxfId="10" tableBorderDxfId="9" totalsRowBorderDxfId="8">
  <autoFilter ref="A1:H21" xr:uid="{0F344F68-6AC0-42C5-90F9-0D4C35F644FA}"/>
  <tableColumns count="8">
    <tableColumn id="1" xr3:uid="{DC0B8124-1B70-492B-B632-D56D88B42988}" name="Employee ID" dataDxfId="7"/>
    <tableColumn id="2" xr3:uid="{465595D7-F002-4E64-9860-521844A7087A}" name="Name" dataDxfId="6"/>
    <tableColumn id="3" xr3:uid="{B47057F0-A51D-44A7-8AD0-76D45DE591AB}" name="Department" dataDxfId="5"/>
    <tableColumn id="4" xr3:uid="{88F121C4-132E-4BB2-9B6D-9D24171FF500}" name="Salary" dataDxfId="4"/>
    <tableColumn id="5" xr3:uid="{1C0533CB-0A01-49B1-9F9A-1524917D6EDE}" name="Joining Date" dataDxfId="3"/>
    <tableColumn id="6" xr3:uid="{007870B2-3389-4503-8820-C73B9F17BB42}" name="Year of Service" dataDxfId="2">
      <calculatedColumnFormula>IFERROR(DATEDIF(Table5[[#This Row],[Joining Date]],TODAY(),"Y"),"Future Date")</calculatedColumnFormula>
    </tableColumn>
    <tableColumn id="7" xr3:uid="{07729E26-B93B-4F32-8972-52131FCE43D7}" name="Days since joining" dataDxfId="1">
      <calculatedColumnFormula>IF(E2&lt;=TODAY(), ABS(TODAY()-E2)&amp;" Days", "Future Date")</calculatedColumnFormula>
    </tableColumn>
    <tableColumn id="11" xr3:uid="{3E348B4E-0D15-4810-B741-E018E1D4374A}" name="Joining Month" dataDxfId="0">
      <calculatedColumnFormula>TEXT(Table5[[#This Row],[Joining Date]],"MMM")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A58F4E-F9F7-4125-80CB-53D749710A0B}" name="Table48" displayName="Table48" ref="B3:N23" totalsRowShown="0" headerRowDxfId="61" dataDxfId="59" headerRowBorderDxfId="60" tableBorderDxfId="58" totalsRowBorderDxfId="57">
  <autoFilter ref="B3:N23" xr:uid="{4DA58F4E-F9F7-4125-80CB-53D749710A0B}"/>
  <sortState xmlns:xlrd2="http://schemas.microsoft.com/office/spreadsheetml/2017/richdata2" ref="B4:K10">
    <sortCondition ref="F3:F23"/>
  </sortState>
  <tableColumns count="13">
    <tableColumn id="1" xr3:uid="{19043B47-1851-44B1-94E6-B9462B62CA18}" name="Sales ID" dataDxfId="56"/>
    <tableColumn id="2" xr3:uid="{D4F8A6C1-1ADB-48B5-837D-4D3F66FB2656}" name="Product" dataDxfId="55"/>
    <tableColumn id="3" xr3:uid="{8829AF45-125B-4347-AC7B-EE11235D7A28}" name="Region" dataDxfId="54"/>
    <tableColumn id="4" xr3:uid="{6A84F55F-2CDF-4465-B265-830C38AE93AD}" name="Salesperson" dataDxfId="53"/>
    <tableColumn id="5" xr3:uid="{F5CAE36E-E533-47E1-8960-C2EA76B1F2A6}" name="Amount" dataDxfId="52"/>
    <tableColumn id="6" xr3:uid="{F73253BD-24B4-430A-8AFD-061CE6546B67}" name="Date" dataDxfId="51"/>
    <tableColumn id="7" xr3:uid="{4C6C13DC-2072-413E-A294-6996024894A9}" name="Month" dataDxfId="50">
      <calculatedColumnFormula>TEXT(Table48[[#This Row],[Date]],"MMM")</calculatedColumnFormula>
    </tableColumn>
    <tableColumn id="8" xr3:uid="{420202C1-2C98-4082-AA8A-F5246025F4BA}" name="Day" dataDxfId="49">
      <calculatedColumnFormula>TEXT(Table48[[#This Row],[Date]],"DDD")</calculatedColumnFormula>
    </tableColumn>
    <tableColumn id="9" xr3:uid="{027199AF-F6D5-4D39-AE99-57A6D27C7CE1}" name="Discount" dataDxfId="48">
      <calculatedColumnFormula>IF(Table48[[#This Row],[Amount]]&gt;=40000,"10% OFF",IF(Table48[[#This Row],[Amount]]&gt;=30000,"5% OFF","No Discount"))</calculatedColumnFormula>
    </tableColumn>
    <tableColumn id="10" xr3:uid="{A340BB04-F50C-4F26-995F-FC7A5733877F}" name="Discount Amount" dataDxfId="47">
      <calculatedColumnFormula array="1">_xlfn.IFS(Table48[[#This Row],[Discount]]="10% OFF", Table48[[#This Row],[Amount]]*10%,Table48[[#This Row],[Discount]]="5% OFF",Table48[[#This Row],[Amount]]*5%,Table48[[#This Row],[Discount]]="No Discount", 0)</calculatedColumnFormula>
    </tableColumn>
    <tableColumn id="11" xr3:uid="{501C19F9-480B-46D3-8242-08A71340B9D3}" name="Round (Total,0)" dataDxfId="46">
      <calculatedColumnFormula>ROUND(Table48[[#This Row],[Discount Amount]],0)</calculatedColumnFormula>
    </tableColumn>
    <tableColumn id="12" xr3:uid="{420F84C0-B36B-475F-AD31-CF21E5213A0A}" name="Ceiling (Total,100)" dataDxfId="45">
      <calculatedColumnFormula>CEILING(Table48[[#This Row],[Discount Amount]],100)</calculatedColumnFormula>
    </tableColumn>
    <tableColumn id="13" xr3:uid="{D0A32389-E587-4D3A-B14F-CDBFCE16FEC1}" name="Floor (total,100)" dataDxfId="44">
      <calculatedColumnFormula>FLOOR(Table48[[#This Row],[Discount Amount]],100)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F950-37DA-4018-B344-CC13EBCE2BBC}">
  <sheetPr>
    <tabColor theme="9" tint="0.39997558519241921"/>
  </sheetPr>
  <dimension ref="A2:S51"/>
  <sheetViews>
    <sheetView tabSelected="1" zoomScale="58" zoomScaleNormal="58" workbookViewId="0">
      <selection activeCell="O4" sqref="O4"/>
    </sheetView>
  </sheetViews>
  <sheetFormatPr defaultColWidth="8.88671875" defaultRowHeight="15.6" x14ac:dyDescent="0.3"/>
  <cols>
    <col min="1" max="1" width="17.109375" style="1" bestFit="1" customWidth="1"/>
    <col min="2" max="2" width="17.109375" style="2" bestFit="1" customWidth="1"/>
    <col min="3" max="3" width="12.5546875" style="3" bestFit="1" customWidth="1"/>
    <col min="4" max="4" width="17.6640625" style="3" bestFit="1" customWidth="1"/>
    <col min="5" max="5" width="13.88671875" style="3" customWidth="1"/>
    <col min="6" max="6" width="22.6640625" style="68" bestFit="1" customWidth="1"/>
    <col min="7" max="7" width="17.6640625" style="3" customWidth="1"/>
    <col min="8" max="8" width="19.88671875" style="4" customWidth="1"/>
    <col min="9" max="9" width="12.6640625" style="2" bestFit="1" customWidth="1"/>
    <col min="10" max="10" width="23.33203125" style="2" bestFit="1" customWidth="1"/>
    <col min="11" max="11" width="21.88671875" style="13" bestFit="1" customWidth="1"/>
    <col min="12" max="12" width="23.33203125" style="13" bestFit="1" customWidth="1"/>
    <col min="13" max="13" width="8.88671875" style="2"/>
    <col min="14" max="14" width="22.21875" style="2" customWidth="1"/>
    <col min="15" max="15" width="14.6640625" bestFit="1" customWidth="1"/>
    <col min="16" max="16" width="17.6640625" style="2" bestFit="1" customWidth="1"/>
    <col min="17" max="17" width="12.6640625" style="2" bestFit="1" customWidth="1"/>
    <col min="18" max="18" width="17.6640625" style="2" customWidth="1"/>
    <col min="19" max="19" width="10.5546875" style="2" bestFit="1" customWidth="1"/>
    <col min="20" max="16384" width="8.88671875" style="2"/>
  </cols>
  <sheetData>
    <row r="2" spans="1:19" x14ac:dyDescent="0.3">
      <c r="I2" s="73" t="s">
        <v>0</v>
      </c>
      <c r="J2" s="73" t="s">
        <v>1</v>
      </c>
      <c r="K2" s="73" t="s">
        <v>2</v>
      </c>
      <c r="L2" s="73" t="s">
        <v>3</v>
      </c>
      <c r="N2" s="87" t="s">
        <v>158</v>
      </c>
      <c r="O2" s="88"/>
      <c r="P2" s="88"/>
      <c r="Q2" s="91"/>
    </row>
    <row r="3" spans="1:19" ht="15" customHeight="1" x14ac:dyDescent="0.3">
      <c r="A3" s="6" t="s">
        <v>4</v>
      </c>
      <c r="B3" s="7" t="s">
        <v>5</v>
      </c>
      <c r="C3" s="8" t="s">
        <v>6</v>
      </c>
      <c r="D3" s="8" t="s">
        <v>7</v>
      </c>
      <c r="E3" s="8" t="s">
        <v>8</v>
      </c>
      <c r="F3" s="69" t="s">
        <v>9</v>
      </c>
      <c r="G3" s="8" t="s">
        <v>10</v>
      </c>
      <c r="H3" s="9" t="s">
        <v>11</v>
      </c>
      <c r="I3" s="7" t="s">
        <v>12</v>
      </c>
      <c r="J3" s="8" t="s">
        <v>13</v>
      </c>
      <c r="K3" s="8" t="s">
        <v>14</v>
      </c>
      <c r="L3" s="8" t="s">
        <v>15</v>
      </c>
      <c r="N3" s="14" t="s">
        <v>4</v>
      </c>
      <c r="O3" s="14" t="s">
        <v>5</v>
      </c>
      <c r="P3" s="15" t="s">
        <v>11</v>
      </c>
      <c r="Q3" s="14" t="s">
        <v>12</v>
      </c>
    </row>
    <row r="4" spans="1:19" ht="15" customHeight="1" x14ac:dyDescent="0.3">
      <c r="A4" s="30">
        <v>1001</v>
      </c>
      <c r="B4" s="10" t="s">
        <v>16</v>
      </c>
      <c r="C4" s="11">
        <v>61</v>
      </c>
      <c r="D4" s="11">
        <v>48</v>
      </c>
      <c r="E4" s="11">
        <v>76</v>
      </c>
      <c r="F4" s="70">
        <v>43101</v>
      </c>
      <c r="G4" s="11">
        <f>SUM(Table1[[#This Row],[Math]],Table1[[#This Row],[Science]],Table1[[#This Row],[English]])</f>
        <v>185</v>
      </c>
      <c r="H4" s="12">
        <f>(Table1[[#This Row],[Total Grade]]/300)*100</f>
        <v>61.666666666666671</v>
      </c>
      <c r="I4" s="10" t="str">
        <f>IF(Table1[[#This Row],[Percentage]]&gt;=85,"A",IF(Table1[[#This Row],[Percentage]]&gt;=70,"B",IF(Table1[[#This Row],[Percentage]]&gt;=55,"C",IF(Table1[[#This Row],[Percentage]]&gt;=40,"D","E"))))</f>
        <v>C</v>
      </c>
      <c r="J4" s="10" t="str">
        <f>IF(Table1[[#This Row],[Percentage]]&gt;=40,"Pass","Fail")</f>
        <v>Pass</v>
      </c>
      <c r="K4" s="10" t="str">
        <f>IF(AND(Table1[[#This Row],[Math]]&gt;80,Table1[[#This Row],[Science]]&gt;80),"Yes","No")</f>
        <v>No</v>
      </c>
      <c r="L4" s="10" t="str">
        <f>IF(OR(Table1[[#This Row],[Math]]&gt;80,Table1[[#This Row],[Science]]&gt;80),"Yes","No")</f>
        <v>No</v>
      </c>
      <c r="N4" s="20">
        <v>1010</v>
      </c>
      <c r="O4" s="20" t="str">
        <f>_xlfn.XLOOKUP(Table3[[#This Row],[Student ID]],Table1[Student ID],Table1[Name],"no data",0)</f>
        <v>Student 10</v>
      </c>
      <c r="P4" s="18">
        <f>_xlfn.XLOOKUP(Table3[[#This Row],[Student ID]],Table1[Student ID],Table1[Percentage],"no data",0)</f>
        <v>70</v>
      </c>
      <c r="Q4" s="20" t="str">
        <f>_xlfn.XLOOKUP(Table3[[#This Row],[Student ID]],Table1[Student ID],Table1[Grade],"no data",0)</f>
        <v>B</v>
      </c>
    </row>
    <row r="5" spans="1:19" ht="15" customHeight="1" x14ac:dyDescent="0.3">
      <c r="A5" s="30">
        <v>1002</v>
      </c>
      <c r="B5" s="10" t="s">
        <v>17</v>
      </c>
      <c r="C5" s="11">
        <v>78</v>
      </c>
      <c r="D5" s="11">
        <v>76</v>
      </c>
      <c r="E5" s="11">
        <v>70</v>
      </c>
      <c r="F5" s="70">
        <v>43281</v>
      </c>
      <c r="G5" s="11">
        <f>SUM(Table1[[#This Row],[Math]],Table1[[#This Row],[Science]],Table1[[#This Row],[English]])</f>
        <v>224</v>
      </c>
      <c r="H5" s="12">
        <f>(Table1[[#This Row],[Total Grade]]/300)*100</f>
        <v>74.666666666666671</v>
      </c>
      <c r="I5" s="10" t="str">
        <f>IF(Table1[[#This Row],[Percentage]]&gt;=85,"A",IF(Table1[[#This Row],[Percentage]]&gt;=70,"B",IF(Table1[[#This Row],[Percentage]]&gt;=55,"C",IF(Table1[[#This Row],[Percentage]]&gt;=40,"D","E"))))</f>
        <v>B</v>
      </c>
      <c r="J5" s="10" t="str">
        <f>IF(Table1[[#This Row],[Percentage]]&gt;=40,"Pass","Fail")</f>
        <v>Pass</v>
      </c>
      <c r="K5" s="10" t="str">
        <f>IF(AND(Table1[[#This Row],[Math]]&gt;80,Table1[[#This Row],[Science]]&gt;80),"Yes","No")</f>
        <v>No</v>
      </c>
      <c r="L5" s="10" t="str">
        <f>IF(OR(Table1[[#This Row],[Math]]&gt;80,Table1[[#This Row],[Science]]&gt;80),"Yes","No")</f>
        <v>No</v>
      </c>
      <c r="N5" s="20">
        <v>1020</v>
      </c>
      <c r="O5" s="20" t="str">
        <f>_xlfn.XLOOKUP(Table3[[#This Row],[Student ID]],Table1[Student ID],Table1[Name],"no data",0)</f>
        <v>Student 20</v>
      </c>
      <c r="P5" s="18">
        <f>_xlfn.XLOOKUP(Table3[[#This Row],[Student ID]],Table1[Student ID],Table1[Percentage],"no data",0)</f>
        <v>76.666666666666671</v>
      </c>
      <c r="Q5" s="20" t="str">
        <f>_xlfn.XLOOKUP(Table3[[#This Row],[Student ID]],Table1[Student ID],Table1[Grade],"no data",0)</f>
        <v>B</v>
      </c>
    </row>
    <row r="6" spans="1:19" ht="15" customHeight="1" x14ac:dyDescent="0.3">
      <c r="A6" s="30">
        <v>1003</v>
      </c>
      <c r="B6" s="10" t="s">
        <v>18</v>
      </c>
      <c r="C6" s="11">
        <v>97</v>
      </c>
      <c r="D6" s="11">
        <v>60</v>
      </c>
      <c r="E6" s="11">
        <v>51</v>
      </c>
      <c r="F6" s="70">
        <v>43461</v>
      </c>
      <c r="G6" s="11">
        <f>SUM(Table1[[#This Row],[Math]],Table1[[#This Row],[Science]],Table1[[#This Row],[English]])</f>
        <v>208</v>
      </c>
      <c r="H6" s="12">
        <f>(Table1[[#This Row],[Total Grade]]/300)*100</f>
        <v>69.333333333333343</v>
      </c>
      <c r="I6" s="10" t="str">
        <f>IF(Table1[[#This Row],[Percentage]]&gt;=85,"A",IF(Table1[[#This Row],[Percentage]]&gt;=70,"B",IF(Table1[[#This Row],[Percentage]]&gt;=55,"C",IF(Table1[[#This Row],[Percentage]]&gt;=40,"D","E"))))</f>
        <v>C</v>
      </c>
      <c r="J6" s="10" t="str">
        <f>IF(Table1[[#This Row],[Percentage]]&gt;=40,"Pass","Fail")</f>
        <v>Pass</v>
      </c>
      <c r="K6" s="10" t="str">
        <f>IF(AND(Table1[[#This Row],[Math]]&gt;80,Table1[[#This Row],[Science]]&gt;80),"Yes","No")</f>
        <v>No</v>
      </c>
      <c r="L6" s="10" t="str">
        <f>IF(OR(Table1[[#This Row],[Math]]&gt;80,Table1[[#This Row],[Science]]&gt;80),"Yes","No")</f>
        <v>Yes</v>
      </c>
      <c r="N6" s="20">
        <v>1001</v>
      </c>
      <c r="O6" s="20" t="str">
        <f>_xlfn.XLOOKUP(Table3[[#This Row],[Student ID]],Table1[Student ID],Table1[Name],"no data",0)</f>
        <v>Student 1</v>
      </c>
      <c r="P6" s="18">
        <f>_xlfn.XLOOKUP(Table3[[#This Row],[Student ID]],Table1[Student ID],Table1[Percentage],"no data",0)</f>
        <v>61.666666666666671</v>
      </c>
      <c r="Q6" s="20" t="str">
        <f>_xlfn.XLOOKUP(Table3[[#This Row],[Student ID]],Table1[Student ID],Table1[Grade],"no data",0)</f>
        <v>C</v>
      </c>
    </row>
    <row r="7" spans="1:19" ht="15" customHeight="1" x14ac:dyDescent="0.3">
      <c r="A7" s="30">
        <v>1004</v>
      </c>
      <c r="B7" s="10" t="s">
        <v>19</v>
      </c>
      <c r="C7" s="11">
        <v>74</v>
      </c>
      <c r="D7" s="11">
        <v>55</v>
      </c>
      <c r="E7" s="11">
        <v>46</v>
      </c>
      <c r="F7" s="70">
        <v>43641</v>
      </c>
      <c r="G7" s="11">
        <f>SUM(Table1[[#This Row],[Math]],Table1[[#This Row],[Science]],Table1[[#This Row],[English]])</f>
        <v>175</v>
      </c>
      <c r="H7" s="12">
        <f>(Table1[[#This Row],[Total Grade]]/300)*100</f>
        <v>58.333333333333336</v>
      </c>
      <c r="I7" s="10" t="str">
        <f>IF(Table1[[#This Row],[Percentage]]&gt;=85,"A",IF(Table1[[#This Row],[Percentage]]&gt;=70,"B",IF(Table1[[#This Row],[Percentage]]&gt;=55,"C",IF(Table1[[#This Row],[Percentage]]&gt;=40,"D","E"))))</f>
        <v>C</v>
      </c>
      <c r="J7" s="10" t="str">
        <f>IF(Table1[[#This Row],[Percentage]]&gt;=40,"Pass","Fail")</f>
        <v>Pass</v>
      </c>
      <c r="K7" s="10" t="str">
        <f>IF(AND(Table1[[#This Row],[Math]]&gt;80,Table1[[#This Row],[Science]]&gt;80),"Yes","No")</f>
        <v>No</v>
      </c>
      <c r="L7" s="10" t="str">
        <f>IF(OR(Table1[[#This Row],[Math]]&gt;80,Table1[[#This Row],[Science]]&gt;80),"Yes","No")</f>
        <v>No</v>
      </c>
    </row>
    <row r="8" spans="1:19" ht="15" customHeight="1" x14ac:dyDescent="0.3">
      <c r="A8" s="30">
        <v>1005</v>
      </c>
      <c r="B8" s="10" t="s">
        <v>20</v>
      </c>
      <c r="C8" s="11">
        <v>68</v>
      </c>
      <c r="D8" s="11">
        <v>74</v>
      </c>
      <c r="E8" s="11">
        <v>84</v>
      </c>
      <c r="F8" s="70">
        <v>43821</v>
      </c>
      <c r="G8" s="11">
        <f>SUM(Table1[[#This Row],[Math]],Table1[[#This Row],[Science]],Table1[[#This Row],[English]])</f>
        <v>226</v>
      </c>
      <c r="H8" s="12">
        <f>(Table1[[#This Row],[Total Grade]]/300)*100</f>
        <v>75.333333333333329</v>
      </c>
      <c r="I8" s="10" t="str">
        <f>IF(Table1[[#This Row],[Percentage]]&gt;=85,"A",IF(Table1[[#This Row],[Percentage]]&gt;=70,"B",IF(Table1[[#This Row],[Percentage]]&gt;=55,"C",IF(Table1[[#This Row],[Percentage]]&gt;=40,"D","E"))))</f>
        <v>B</v>
      </c>
      <c r="J8" s="10" t="str">
        <f>IF(Table1[[#This Row],[Percentage]]&gt;=40,"Pass","Fail")</f>
        <v>Pass</v>
      </c>
      <c r="K8" s="10" t="str">
        <f>IF(AND(Table1[[#This Row],[Math]]&gt;80,Table1[[#This Row],[Science]]&gt;80),"Yes","No")</f>
        <v>No</v>
      </c>
      <c r="L8" s="10" t="str">
        <f>IF(OR(Table1[[#This Row],[Math]]&gt;80,Table1[[#This Row],[Science]]&gt;80),"Yes","No")</f>
        <v>No</v>
      </c>
      <c r="N8" s="95" t="s">
        <v>21</v>
      </c>
      <c r="O8" s="96"/>
      <c r="Q8" s="87" t="s">
        <v>22</v>
      </c>
      <c r="R8" s="88"/>
    </row>
    <row r="9" spans="1:19" ht="15" customHeight="1" x14ac:dyDescent="0.3">
      <c r="A9" s="30">
        <v>1006</v>
      </c>
      <c r="B9" s="10" t="s">
        <v>23</v>
      </c>
      <c r="C9" s="11">
        <v>80</v>
      </c>
      <c r="D9" s="11">
        <v>70</v>
      </c>
      <c r="E9" s="11">
        <v>65</v>
      </c>
      <c r="F9" s="70">
        <v>44001</v>
      </c>
      <c r="G9" s="11">
        <f>SUM(Table1[[#This Row],[Math]],Table1[[#This Row],[Science]],Table1[[#This Row],[English]])</f>
        <v>215</v>
      </c>
      <c r="H9" s="12">
        <f>(Table1[[#This Row],[Total Grade]]/300)*100</f>
        <v>71.666666666666671</v>
      </c>
      <c r="I9" s="10" t="str">
        <f>IF(Table1[[#This Row],[Percentage]]&gt;=85,"A",IF(Table1[[#This Row],[Percentage]]&gt;=70,"B",IF(Table1[[#This Row],[Percentage]]&gt;=55,"C",IF(Table1[[#This Row],[Percentage]]&gt;=40,"D","E"))))</f>
        <v>B</v>
      </c>
      <c r="J9" s="10" t="str">
        <f>IF(Table1[[#This Row],[Percentage]]&gt;=40,"Pass","Fail")</f>
        <v>Pass</v>
      </c>
      <c r="K9" s="10" t="str">
        <f>IF(AND(Table1[[#This Row],[Math]]&gt;80,Table1[[#This Row],[Science]]&gt;80),"Yes","No")</f>
        <v>No</v>
      </c>
      <c r="L9" s="10" t="str">
        <f>IF(OR(Table1[[#This Row],[Math]]&gt;80,Table1[[#This Row],[Science]]&gt;80),"Yes","No")</f>
        <v>No</v>
      </c>
      <c r="N9" s="89" t="s">
        <v>24</v>
      </c>
      <c r="O9" s="90"/>
      <c r="Q9" s="84" t="s">
        <v>25</v>
      </c>
      <c r="R9" s="86"/>
    </row>
    <row r="10" spans="1:19" ht="15" customHeight="1" x14ac:dyDescent="0.3">
      <c r="A10" s="30">
        <v>1007</v>
      </c>
      <c r="B10" s="10" t="s">
        <v>26</v>
      </c>
      <c r="C10" s="11">
        <v>75</v>
      </c>
      <c r="D10" s="11">
        <v>47</v>
      </c>
      <c r="E10" s="11">
        <v>78</v>
      </c>
      <c r="F10" s="70">
        <v>44181</v>
      </c>
      <c r="G10" s="11">
        <f>SUM(Table1[[#This Row],[Math]],Table1[[#This Row],[Science]],Table1[[#This Row],[English]])</f>
        <v>200</v>
      </c>
      <c r="H10" s="12">
        <f>(Table1[[#This Row],[Total Grade]]/300)*100</f>
        <v>66.666666666666657</v>
      </c>
      <c r="I10" s="10" t="str">
        <f>IF(Table1[[#This Row],[Percentage]]&gt;=85,"A",IF(Table1[[#This Row],[Percentage]]&gt;=70,"B",IF(Table1[[#This Row],[Percentage]]&gt;=55,"C",IF(Table1[[#This Row],[Percentage]]&gt;=40,"D","E"))))</f>
        <v>C</v>
      </c>
      <c r="J10" s="10" t="str">
        <f>IF(Table1[[#This Row],[Percentage]]&gt;=40,"Pass","Fail")</f>
        <v>Pass</v>
      </c>
      <c r="K10" s="10" t="str">
        <f>IF(AND(Table1[[#This Row],[Math]]&gt;80,Table1[[#This Row],[Science]]&gt;80),"Yes","No")</f>
        <v>No</v>
      </c>
      <c r="L10" s="10" t="str">
        <f>IF(OR(Table1[[#This Row],[Math]]&gt;80,Table1[[#This Row],[Science]]&gt;80),"Yes","No")</f>
        <v>No</v>
      </c>
      <c r="N10" s="28" t="s">
        <v>4</v>
      </c>
      <c r="O10" s="77">
        <v>1010</v>
      </c>
      <c r="Q10" s="20" cm="1">
        <f t="array" ref="Q10:R11">_xlfn._xlws.FILTER(A4:B23,Table1[Percentage]&gt;80,"no data")</f>
        <v>1012</v>
      </c>
      <c r="R10" s="77" t="str">
        <v>Student 12</v>
      </c>
    </row>
    <row r="11" spans="1:19" ht="15" customHeight="1" x14ac:dyDescent="0.3">
      <c r="A11" s="30">
        <v>1008</v>
      </c>
      <c r="B11" s="10" t="s">
        <v>27</v>
      </c>
      <c r="C11" s="11">
        <v>94</v>
      </c>
      <c r="D11" s="11">
        <v>67</v>
      </c>
      <c r="E11" s="11">
        <v>64</v>
      </c>
      <c r="F11" s="70">
        <v>44361</v>
      </c>
      <c r="G11" s="11">
        <f>SUM(Table1[[#This Row],[Math]],Table1[[#This Row],[Science]],Table1[[#This Row],[English]])</f>
        <v>225</v>
      </c>
      <c r="H11" s="12">
        <f>(Table1[[#This Row],[Total Grade]]/300)*100</f>
        <v>75</v>
      </c>
      <c r="I11" s="10" t="str">
        <f>IF(Table1[[#This Row],[Percentage]]&gt;=85,"A",IF(Table1[[#This Row],[Percentage]]&gt;=70,"B",IF(Table1[[#This Row],[Percentage]]&gt;=55,"C",IF(Table1[[#This Row],[Percentage]]&gt;=40,"D","E"))))</f>
        <v>B</v>
      </c>
      <c r="J11" s="10" t="str">
        <f>IF(Table1[[#This Row],[Percentage]]&gt;=40,"Pass","Fail")</f>
        <v>Pass</v>
      </c>
      <c r="K11" s="10" t="str">
        <f>IF(AND(Table1[[#This Row],[Math]]&gt;80,Table1[[#This Row],[Science]]&gt;80),"Yes","No")</f>
        <v>No</v>
      </c>
      <c r="L11" s="10" t="str">
        <f>IF(OR(Table1[[#This Row],[Math]]&gt;80,Table1[[#This Row],[Science]]&gt;80),"Yes","No")</f>
        <v>Yes</v>
      </c>
      <c r="N11" s="29" t="s">
        <v>5</v>
      </c>
      <c r="O11" s="77" t="str">
        <f>VLOOKUP(O10,Table1[[Student ID]:[Name]],2,FALSE)</f>
        <v>Student 10</v>
      </c>
      <c r="Q11" s="20">
        <v>1013</v>
      </c>
      <c r="R11" s="77" t="str">
        <v>Student 13</v>
      </c>
    </row>
    <row r="12" spans="1:19" ht="15" customHeight="1" x14ac:dyDescent="0.3">
      <c r="A12" s="30">
        <v>1009</v>
      </c>
      <c r="B12" s="10" t="s">
        <v>28</v>
      </c>
      <c r="C12" s="11">
        <v>41</v>
      </c>
      <c r="D12" s="11">
        <v>75</v>
      </c>
      <c r="E12" s="11">
        <v>56</v>
      </c>
      <c r="F12" s="70">
        <v>44541</v>
      </c>
      <c r="G12" s="11">
        <f>SUM(Table1[[#This Row],[Math]],Table1[[#This Row],[Science]],Table1[[#This Row],[English]])</f>
        <v>172</v>
      </c>
      <c r="H12" s="12">
        <f>(Table1[[#This Row],[Total Grade]]/300)*100</f>
        <v>57.333333333333336</v>
      </c>
      <c r="I12" s="10" t="str">
        <f>IF(Table1[[#This Row],[Percentage]]&gt;=85,"A",IF(Table1[[#This Row],[Percentage]]&gt;=70,"B",IF(Table1[[#This Row],[Percentage]]&gt;=55,"C",IF(Table1[[#This Row],[Percentage]]&gt;=40,"D","E"))))</f>
        <v>C</v>
      </c>
      <c r="J12" s="10" t="str">
        <f>IF(Table1[[#This Row],[Percentage]]&gt;=40,"Pass","Fail")</f>
        <v>Pass</v>
      </c>
      <c r="K12" s="10" t="str">
        <f>IF(AND(Table1[[#This Row],[Math]]&gt;80,Table1[[#This Row],[Science]]&gt;80),"Yes","No")</f>
        <v>No</v>
      </c>
      <c r="L12" s="10" t="str">
        <f>IF(OR(Table1[[#This Row],[Math]]&gt;80,Table1[[#This Row],[Science]]&gt;80),"Yes","No")</f>
        <v>No</v>
      </c>
      <c r="R12" s="3"/>
      <c r="S12" s="4"/>
    </row>
    <row r="13" spans="1:19" ht="15" customHeight="1" x14ac:dyDescent="0.3">
      <c r="A13" s="30">
        <v>1010</v>
      </c>
      <c r="B13" s="10" t="s">
        <v>29</v>
      </c>
      <c r="C13" s="11">
        <v>98</v>
      </c>
      <c r="D13" s="11">
        <v>54</v>
      </c>
      <c r="E13" s="11">
        <v>58</v>
      </c>
      <c r="F13" s="70">
        <v>44721</v>
      </c>
      <c r="G13" s="11">
        <f>SUM(Table1[[#This Row],[Math]],Table1[[#This Row],[Science]],Table1[[#This Row],[English]])</f>
        <v>210</v>
      </c>
      <c r="H13" s="12">
        <f>(Table1[[#This Row],[Total Grade]]/300)*100</f>
        <v>70</v>
      </c>
      <c r="I13" s="10" t="str">
        <f>IF(Table1[[#This Row],[Percentage]]&gt;=85,"A",IF(Table1[[#This Row],[Percentage]]&gt;=70,"B",IF(Table1[[#This Row],[Percentage]]&gt;=55,"C",IF(Table1[[#This Row],[Percentage]]&gt;=40,"D","E"))))</f>
        <v>B</v>
      </c>
      <c r="J13" s="10" t="str">
        <f>IF(Table1[[#This Row],[Percentage]]&gt;=40,"Pass","Fail")</f>
        <v>Pass</v>
      </c>
      <c r="K13" s="10" t="str">
        <f>IF(AND(Table1[[#This Row],[Math]]&gt;80,Table1[[#This Row],[Science]]&gt;80),"Yes","No")</f>
        <v>No</v>
      </c>
      <c r="L13" s="10" t="str">
        <f>IF(OR(Table1[[#This Row],[Math]]&gt;80,Table1[[#This Row],[Science]]&gt;80),"Yes","No")</f>
        <v>Yes</v>
      </c>
      <c r="N13" s="76" t="s">
        <v>30</v>
      </c>
    </row>
    <row r="14" spans="1:19" ht="15" customHeight="1" x14ac:dyDescent="0.3">
      <c r="A14" s="30">
        <v>1011</v>
      </c>
      <c r="B14" s="10" t="s">
        <v>31</v>
      </c>
      <c r="C14" s="11">
        <v>73</v>
      </c>
      <c r="D14" s="11">
        <v>79</v>
      </c>
      <c r="E14" s="11">
        <v>53</v>
      </c>
      <c r="F14" s="70">
        <v>44901</v>
      </c>
      <c r="G14" s="11">
        <f>SUM(Table1[[#This Row],[Math]],Table1[[#This Row],[Science]],Table1[[#This Row],[English]])</f>
        <v>205</v>
      </c>
      <c r="H14" s="12">
        <f>(Table1[[#This Row],[Total Grade]]/300)*100</f>
        <v>68.333333333333329</v>
      </c>
      <c r="I14" s="10" t="str">
        <f>IF(Table1[[#This Row],[Percentage]]&gt;=85,"A",IF(Table1[[#This Row],[Percentage]]&gt;=70,"B",IF(Table1[[#This Row],[Percentage]]&gt;=55,"C",IF(Table1[[#This Row],[Percentage]]&gt;=40,"D","E"))))</f>
        <v>C</v>
      </c>
      <c r="J14" s="10" t="str">
        <f>IF(Table1[[#This Row],[Percentage]]&gt;=40,"Pass","Fail")</f>
        <v>Pass</v>
      </c>
      <c r="K14" s="10" t="str">
        <f>IF(AND(Table1[[#This Row],[Math]]&gt;80,Table1[[#This Row],[Science]]&gt;80),"Yes","No")</f>
        <v>No</v>
      </c>
      <c r="L14" s="10" t="str">
        <f>IF(OR(Table1[[#This Row],[Math]]&gt;80,Table1[[#This Row],[Science]]&gt;80),"Yes","No")</f>
        <v>No</v>
      </c>
      <c r="N14" s="72" t="s">
        <v>32</v>
      </c>
      <c r="P14" s="92" t="s">
        <v>33</v>
      </c>
      <c r="Q14" s="92"/>
      <c r="R14" s="92"/>
    </row>
    <row r="15" spans="1:19" ht="15" customHeight="1" x14ac:dyDescent="0.3">
      <c r="A15" s="30">
        <v>1012</v>
      </c>
      <c r="B15" s="10" t="s">
        <v>34</v>
      </c>
      <c r="C15" s="11">
        <v>85</v>
      </c>
      <c r="D15" s="11">
        <v>89</v>
      </c>
      <c r="E15" s="11">
        <v>79</v>
      </c>
      <c r="F15" s="70">
        <v>45081</v>
      </c>
      <c r="G15" s="11">
        <f>SUM(Table1[[#This Row],[Math]],Table1[[#This Row],[Science]],Table1[[#This Row],[English]])</f>
        <v>253</v>
      </c>
      <c r="H15" s="12">
        <f>(Table1[[#This Row],[Total Grade]]/300)*100</f>
        <v>84.333333333333343</v>
      </c>
      <c r="I15" s="10" t="str">
        <f>IF(Table1[[#This Row],[Percentage]]&gt;=85,"A",IF(Table1[[#This Row],[Percentage]]&gt;=70,"B",IF(Table1[[#This Row],[Percentage]]&gt;=55,"C",IF(Table1[[#This Row],[Percentage]]&gt;=40,"D","E"))))</f>
        <v>B</v>
      </c>
      <c r="J15" s="10" t="str">
        <f>IF(Table1[[#This Row],[Percentage]]&gt;=40,"Pass","Fail")</f>
        <v>Pass</v>
      </c>
      <c r="K15" s="10" t="str">
        <f>IF(AND(Table1[[#This Row],[Math]]&gt;80,Table1[[#This Row],[Science]]&gt;80),"Yes","No")</f>
        <v>Yes</v>
      </c>
      <c r="L15" s="10" t="str">
        <f>IF(OR(Table1[[#This Row],[Math]]&gt;80,Table1[[#This Row],[Science]]&gt;80),"Yes","No")</f>
        <v>Yes</v>
      </c>
      <c r="N15" s="20">
        <f>COUNTIF(Table1[Math],"&gt;50")</f>
        <v>19</v>
      </c>
      <c r="P15" s="93" t="s">
        <v>6</v>
      </c>
      <c r="Q15" s="93"/>
      <c r="R15" s="71">
        <f>MAX(Table1[Math])</f>
        <v>98</v>
      </c>
    </row>
    <row r="16" spans="1:19" ht="15" customHeight="1" x14ac:dyDescent="0.3">
      <c r="A16" s="30">
        <v>1013</v>
      </c>
      <c r="B16" s="10" t="s">
        <v>35</v>
      </c>
      <c r="C16" s="11">
        <v>98</v>
      </c>
      <c r="D16" s="11">
        <v>90</v>
      </c>
      <c r="E16" s="11">
        <v>97</v>
      </c>
      <c r="F16" s="70">
        <v>45261</v>
      </c>
      <c r="G16" s="11">
        <f>SUM(Table1[[#This Row],[Math]],Table1[[#This Row],[Science]],Table1[[#This Row],[English]])</f>
        <v>285</v>
      </c>
      <c r="H16" s="12">
        <f>(Table1[[#This Row],[Total Grade]]/300)*100</f>
        <v>95</v>
      </c>
      <c r="I16" s="10" t="str">
        <f>IF(Table1[[#This Row],[Percentage]]&gt;=85,"A",IF(Table1[[#This Row],[Percentage]]&gt;=70,"B",IF(Table1[[#This Row],[Percentage]]&gt;=55,"C",IF(Table1[[#This Row],[Percentage]]&gt;=40,"D","E"))))</f>
        <v>A</v>
      </c>
      <c r="J16" s="10" t="str">
        <f>IF(Table1[[#This Row],[Percentage]]&gt;=40,"Pass","Fail")</f>
        <v>Pass</v>
      </c>
      <c r="K16" s="10" t="str">
        <f>IF(AND(Table1[[#This Row],[Math]]&gt;80,Table1[[#This Row],[Science]]&gt;80),"Yes","No")</f>
        <v>Yes</v>
      </c>
      <c r="L16" s="10" t="str">
        <f>IF(OR(Table1[[#This Row],[Math]]&gt;80,Table1[[#This Row],[Science]]&gt;80),"Yes","No")</f>
        <v>Yes</v>
      </c>
      <c r="P16" s="94" t="s">
        <v>7</v>
      </c>
      <c r="Q16" s="94"/>
      <c r="R16" s="27">
        <f>MAX(Table1[Science])</f>
        <v>92</v>
      </c>
    </row>
    <row r="17" spans="1:18" ht="15" customHeight="1" x14ac:dyDescent="0.3">
      <c r="A17" s="30">
        <v>1014</v>
      </c>
      <c r="B17" s="10" t="s">
        <v>36</v>
      </c>
      <c r="C17" s="11">
        <v>93</v>
      </c>
      <c r="D17" s="11">
        <v>40</v>
      </c>
      <c r="E17" s="11">
        <v>44</v>
      </c>
      <c r="F17" s="70">
        <v>45441</v>
      </c>
      <c r="G17" s="11">
        <f>SUM(Table1[[#This Row],[Math]],Table1[[#This Row],[Science]],Table1[[#This Row],[English]])</f>
        <v>177</v>
      </c>
      <c r="H17" s="12">
        <f>(Table1[[#This Row],[Total Grade]]/300)*100</f>
        <v>59</v>
      </c>
      <c r="I17" s="10" t="str">
        <f>IF(Table1[[#This Row],[Percentage]]&gt;=85,"A",IF(Table1[[#This Row],[Percentage]]&gt;=70,"B",IF(Table1[[#This Row],[Percentage]]&gt;=55,"C",IF(Table1[[#This Row],[Percentage]]&gt;=40,"D","E"))))</f>
        <v>C</v>
      </c>
      <c r="J17" s="10" t="str">
        <f>IF(Table1[[#This Row],[Percentage]]&gt;=40,"Pass","Fail")</f>
        <v>Pass</v>
      </c>
      <c r="K17" s="10" t="str">
        <f>IF(AND(Table1[[#This Row],[Math]]&gt;80,Table1[[#This Row],[Science]]&gt;80),"Yes","No")</f>
        <v>No</v>
      </c>
      <c r="L17" s="10" t="str">
        <f>IF(OR(Table1[[#This Row],[Math]]&gt;80,Table1[[#This Row],[Science]]&gt;80),"Yes","No")</f>
        <v>Yes</v>
      </c>
      <c r="N17" s="76" t="s">
        <v>37</v>
      </c>
      <c r="P17" s="94" t="s">
        <v>8</v>
      </c>
      <c r="Q17" s="94"/>
      <c r="R17" s="27">
        <f>MAX(Table1[English])</f>
        <v>97</v>
      </c>
    </row>
    <row r="18" spans="1:18" ht="15" customHeight="1" x14ac:dyDescent="0.3">
      <c r="A18" s="30">
        <v>1015</v>
      </c>
      <c r="B18" s="10" t="s">
        <v>38</v>
      </c>
      <c r="C18" s="11">
        <v>70</v>
      </c>
      <c r="D18" s="11">
        <v>51</v>
      </c>
      <c r="E18" s="11">
        <v>75</v>
      </c>
      <c r="F18" s="70">
        <v>45621</v>
      </c>
      <c r="G18" s="11">
        <f>SUM(Table1[[#This Row],[Math]],Table1[[#This Row],[Science]],Table1[[#This Row],[English]])</f>
        <v>196</v>
      </c>
      <c r="H18" s="12">
        <f>(Table1[[#This Row],[Total Grade]]/300)*100</f>
        <v>65.333333333333329</v>
      </c>
      <c r="I18" s="10" t="str">
        <f>IF(Table1[[#This Row],[Percentage]]&gt;=85,"A",IF(Table1[[#This Row],[Percentage]]&gt;=70,"B",IF(Table1[[#This Row],[Percentage]]&gt;=55,"C",IF(Table1[[#This Row],[Percentage]]&gt;=40,"D","E"))))</f>
        <v>C</v>
      </c>
      <c r="J18" s="10" t="str">
        <f>IF(Table1[[#This Row],[Percentage]]&gt;=40,"Pass","Fail")</f>
        <v>Pass</v>
      </c>
      <c r="K18" s="10" t="str">
        <f>IF(AND(Table1[[#This Row],[Math]]&gt;80,Table1[[#This Row],[Science]]&gt;80),"Yes","No")</f>
        <v>No</v>
      </c>
      <c r="L18" s="10" t="str">
        <f>IF(OR(Table1[[#This Row],[Math]]&gt;80,Table1[[#This Row],[Science]]&gt;80),"Yes","No")</f>
        <v>No</v>
      </c>
      <c r="N18" s="5" t="s">
        <v>39</v>
      </c>
    </row>
    <row r="19" spans="1:18" ht="15" customHeight="1" x14ac:dyDescent="0.3">
      <c r="A19" s="30">
        <v>1016</v>
      </c>
      <c r="B19" s="10" t="s">
        <v>40</v>
      </c>
      <c r="C19" s="11">
        <v>98</v>
      </c>
      <c r="D19" s="11">
        <v>77</v>
      </c>
      <c r="E19" s="11">
        <v>60</v>
      </c>
      <c r="F19" s="70">
        <v>45801</v>
      </c>
      <c r="G19" s="11">
        <f>SUM(Table1[[#This Row],[Math]],Table1[[#This Row],[Science]],Table1[[#This Row],[English]])</f>
        <v>235</v>
      </c>
      <c r="H19" s="12">
        <f>(Table1[[#This Row],[Total Grade]]/300)*100</f>
        <v>78.333333333333329</v>
      </c>
      <c r="I19" s="10" t="str">
        <f>IF(Table1[[#This Row],[Percentage]]&gt;=85,"A",IF(Table1[[#This Row],[Percentage]]&gt;=70,"B",IF(Table1[[#This Row],[Percentage]]&gt;=55,"C",IF(Table1[[#This Row],[Percentage]]&gt;=40,"D","E"))))</f>
        <v>B</v>
      </c>
      <c r="J19" s="10" t="str">
        <f>IF(Table1[[#This Row],[Percentage]]&gt;=40,"Pass","Fail")</f>
        <v>Pass</v>
      </c>
      <c r="K19" s="10" t="str">
        <f>IF(AND(Table1[[#This Row],[Math]]&gt;80,Table1[[#This Row],[Science]]&gt;80),"Yes","No")</f>
        <v>No</v>
      </c>
      <c r="L19" s="10" t="str">
        <f>IF(OR(Table1[[#This Row],[Math]]&gt;80,Table1[[#This Row],[Science]]&gt;80),"Yes","No")</f>
        <v>Yes</v>
      </c>
      <c r="N19" s="21">
        <f>AVERAGEIF(Table1[Percentage],"&gt;60")</f>
        <v>73.625000000000014</v>
      </c>
    </row>
    <row r="20" spans="1:18" ht="15" customHeight="1" x14ac:dyDescent="0.3">
      <c r="A20" s="30">
        <v>1017</v>
      </c>
      <c r="B20" s="10" t="s">
        <v>41</v>
      </c>
      <c r="C20" s="11">
        <v>66</v>
      </c>
      <c r="D20" s="11">
        <v>59</v>
      </c>
      <c r="E20" s="11">
        <v>40</v>
      </c>
      <c r="F20" s="70">
        <v>45981</v>
      </c>
      <c r="G20" s="11">
        <f>SUM(Table1[[#This Row],[Math]],Table1[[#This Row],[Science]],Table1[[#This Row],[English]])</f>
        <v>165</v>
      </c>
      <c r="H20" s="12">
        <f>(Table1[[#This Row],[Total Grade]]/300)*100</f>
        <v>55.000000000000007</v>
      </c>
      <c r="I20" s="10" t="str">
        <f>IF(Table1[[#This Row],[Percentage]]&gt;=85,"A",IF(Table1[[#This Row],[Percentage]]&gt;=70,"B",IF(Table1[[#This Row],[Percentage]]&gt;=55,"C",IF(Table1[[#This Row],[Percentage]]&gt;=40,"D","E"))))</f>
        <v>C</v>
      </c>
      <c r="J20" s="10" t="str">
        <f>IF(Table1[[#This Row],[Percentage]]&gt;=40,"Pass","Fail")</f>
        <v>Pass</v>
      </c>
      <c r="K20" s="10" t="str">
        <f>IF(AND(Table1[[#This Row],[Math]]&gt;80,Table1[[#This Row],[Science]]&gt;80),"Yes","No")</f>
        <v>No</v>
      </c>
      <c r="L20" s="10" t="str">
        <f>IF(OR(Table1[[#This Row],[Math]]&gt;80,Table1[[#This Row],[Science]]&gt;80),"Yes","No")</f>
        <v>No</v>
      </c>
    </row>
    <row r="21" spans="1:18" ht="15" customHeight="1" x14ac:dyDescent="0.3">
      <c r="A21" s="30">
        <v>1018</v>
      </c>
      <c r="B21" s="10" t="s">
        <v>42</v>
      </c>
      <c r="C21" s="11">
        <v>82</v>
      </c>
      <c r="D21" s="11">
        <v>48</v>
      </c>
      <c r="E21" s="11">
        <v>79</v>
      </c>
      <c r="F21" s="70">
        <v>46161</v>
      </c>
      <c r="G21" s="11">
        <f>SUM(Table1[[#This Row],[Math]],Table1[[#This Row],[Science]],Table1[[#This Row],[English]])</f>
        <v>209</v>
      </c>
      <c r="H21" s="12">
        <f>(Table1[[#This Row],[Total Grade]]/300)*100</f>
        <v>69.666666666666671</v>
      </c>
      <c r="I21" s="10" t="str">
        <f>IF(Table1[[#This Row],[Percentage]]&gt;=85,"A",IF(Table1[[#This Row],[Percentage]]&gt;=70,"B",IF(Table1[[#This Row],[Percentage]]&gt;=55,"C",IF(Table1[[#This Row],[Percentage]]&gt;=40,"D","E"))))</f>
        <v>C</v>
      </c>
      <c r="J21" s="10" t="str">
        <f>IF(Table1[[#This Row],[Percentage]]&gt;=40,"Pass","Fail")</f>
        <v>Pass</v>
      </c>
      <c r="K21" s="10" t="str">
        <f>IF(AND(Table1[[#This Row],[Math]]&gt;80,Table1[[#This Row],[Science]]&gt;80),"Yes","No")</f>
        <v>No</v>
      </c>
      <c r="L21" s="10" t="str">
        <f>IF(OR(Table1[[#This Row],[Math]]&gt;80,Table1[[#This Row],[Science]]&gt;80),"Yes","No")</f>
        <v>Yes</v>
      </c>
      <c r="N21" s="84" t="s">
        <v>43</v>
      </c>
      <c r="O21" s="85"/>
    </row>
    <row r="22" spans="1:18" ht="15" customHeight="1" x14ac:dyDescent="0.3">
      <c r="A22" s="30">
        <v>1019</v>
      </c>
      <c r="B22" s="10" t="s">
        <v>44</v>
      </c>
      <c r="C22" s="11">
        <v>90</v>
      </c>
      <c r="D22" s="11">
        <v>78</v>
      </c>
      <c r="E22" s="11">
        <v>60</v>
      </c>
      <c r="F22" s="70">
        <v>46341</v>
      </c>
      <c r="G22" s="11">
        <f>SUM(Table1[[#This Row],[Math]],Table1[[#This Row],[Science]],Table1[[#This Row],[English]])</f>
        <v>228</v>
      </c>
      <c r="H22" s="12">
        <f>(Table1[[#This Row],[Total Grade]]/300)*100</f>
        <v>76</v>
      </c>
      <c r="I22" s="10" t="str">
        <f>IF(Table1[[#This Row],[Percentage]]&gt;=85,"A",IF(Table1[[#This Row],[Percentage]]&gt;=70,"B",IF(Table1[[#This Row],[Percentage]]&gt;=55,"C",IF(Table1[[#This Row],[Percentage]]&gt;=40,"D","E"))))</f>
        <v>B</v>
      </c>
      <c r="J22" s="10" t="str">
        <f>IF(Table1[[#This Row],[Percentage]]&gt;=40,"Pass","Fail")</f>
        <v>Pass</v>
      </c>
      <c r="K22" s="10" t="str">
        <f>IF(AND(Table1[[#This Row],[Math]]&gt;80,Table1[[#This Row],[Science]]&gt;80),"Yes","No")</f>
        <v>No</v>
      </c>
      <c r="L22" s="10" t="str">
        <f>IF(OR(Table1[[#This Row],[Math]]&gt;80,Table1[[#This Row],[Science]]&gt;80),"Yes","No")</f>
        <v>Yes</v>
      </c>
      <c r="N22" s="20" cm="1">
        <f t="array" ref="N22:O22">_xlfn._xlws.FILTER(Table1[[Student ID]:[Name]],Table1[Percentage]=MAX(Table1[Percentage]))</f>
        <v>1013</v>
      </c>
      <c r="O22" s="18" t="str">
        <v>Student 13</v>
      </c>
    </row>
    <row r="23" spans="1:18" ht="15" customHeight="1" x14ac:dyDescent="0.3">
      <c r="A23" s="30">
        <v>1020</v>
      </c>
      <c r="B23" s="10" t="s">
        <v>45</v>
      </c>
      <c r="C23" s="11">
        <v>83</v>
      </c>
      <c r="D23" s="11">
        <v>92</v>
      </c>
      <c r="E23" s="11">
        <v>55</v>
      </c>
      <c r="F23" s="70">
        <v>46521</v>
      </c>
      <c r="G23" s="11">
        <f>SUM(Table1[[#This Row],[Math]],Table1[[#This Row],[Science]],Table1[[#This Row],[English]])</f>
        <v>230</v>
      </c>
      <c r="H23" s="12">
        <f>(Table1[[#This Row],[Total Grade]]/300)*100</f>
        <v>76.666666666666671</v>
      </c>
      <c r="I23" s="10" t="str">
        <f>IF(Table1[[#This Row],[Percentage]]&gt;=85,"A",IF(Table1[[#This Row],[Percentage]]&gt;=70,"B",IF(Table1[[#This Row],[Percentage]]&gt;=55,"C",IF(Table1[[#This Row],[Percentage]]&gt;=40,"D","E"))))</f>
        <v>B</v>
      </c>
      <c r="J23" s="10" t="str">
        <f>IF(Table1[[#This Row],[Percentage]]&gt;=40,"Pass","Fail")</f>
        <v>Pass</v>
      </c>
      <c r="K23" s="10" t="str">
        <f>IF(AND(Table1[[#This Row],[Math]]&gt;80,Table1[[#This Row],[Science]]&gt;80),"Yes","No")</f>
        <v>Yes</v>
      </c>
      <c r="L23" s="10" t="str">
        <f>IF(OR(Table1[[#This Row],[Math]]&gt;80,Table1[[#This Row],[Science]]&gt;80),"Yes","No")</f>
        <v>Yes</v>
      </c>
    </row>
    <row r="26" spans="1:18" ht="15.6" customHeight="1" x14ac:dyDescent="0.3"/>
    <row r="27" spans="1:18" ht="15.6" customHeight="1" x14ac:dyDescent="0.3">
      <c r="N27"/>
      <c r="O27" s="2"/>
    </row>
    <row r="28" spans="1:18" ht="15.6" customHeight="1" x14ac:dyDescent="0.3">
      <c r="N28"/>
      <c r="O28" s="2"/>
    </row>
    <row r="29" spans="1:18" ht="15.6" customHeight="1" x14ac:dyDescent="0.3">
      <c r="N29"/>
      <c r="O29" s="2"/>
    </row>
    <row r="30" spans="1:18" ht="15.6" customHeight="1" x14ac:dyDescent="0.3">
      <c r="H30" s="2"/>
      <c r="J30" s="13"/>
      <c r="L30" s="2"/>
      <c r="N30"/>
      <c r="O30" s="2"/>
    </row>
    <row r="31" spans="1:18" x14ac:dyDescent="0.3">
      <c r="C31" s="2"/>
      <c r="D31" s="2"/>
      <c r="E31" s="2"/>
    </row>
    <row r="33" spans="7:14" x14ac:dyDescent="0.3">
      <c r="I33" s="22"/>
      <c r="J33" s="22"/>
      <c r="K33" s="22"/>
      <c r="L33" s="22"/>
      <c r="M33" s="22"/>
      <c r="N33" s="22"/>
    </row>
    <row r="34" spans="7:14" x14ac:dyDescent="0.3">
      <c r="I34" s="22"/>
      <c r="J34" s="22"/>
      <c r="K34" s="22"/>
      <c r="L34" s="22"/>
      <c r="M34" s="22"/>
      <c r="N34" s="22"/>
    </row>
    <row r="35" spans="7:14" x14ac:dyDescent="0.3">
      <c r="I35" s="13"/>
      <c r="J35" s="13"/>
      <c r="M35" s="13"/>
      <c r="N35" s="23"/>
    </row>
    <row r="36" spans="7:14" x14ac:dyDescent="0.3">
      <c r="I36" s="13"/>
      <c r="J36" s="13"/>
      <c r="M36" s="13"/>
      <c r="N36" s="24"/>
    </row>
    <row r="42" spans="7:14" x14ac:dyDescent="0.3">
      <c r="G42" s="22"/>
      <c r="H42" s="22"/>
    </row>
    <row r="43" spans="7:14" x14ac:dyDescent="0.3">
      <c r="G43" s="25"/>
      <c r="H43" s="26"/>
    </row>
    <row r="44" spans="7:14" x14ac:dyDescent="0.3">
      <c r="G44" s="25"/>
      <c r="H44" s="26"/>
    </row>
    <row r="45" spans="7:14" x14ac:dyDescent="0.3">
      <c r="G45" s="25"/>
      <c r="H45" s="26"/>
    </row>
    <row r="46" spans="7:14" x14ac:dyDescent="0.3">
      <c r="G46" s="25"/>
      <c r="H46" s="26"/>
    </row>
    <row r="47" spans="7:14" x14ac:dyDescent="0.3">
      <c r="G47" s="25"/>
      <c r="H47" s="26"/>
    </row>
    <row r="48" spans="7:14" x14ac:dyDescent="0.3">
      <c r="G48" s="25"/>
    </row>
    <row r="49" spans="7:8" x14ac:dyDescent="0.3">
      <c r="G49" s="25"/>
      <c r="H49" s="26"/>
    </row>
    <row r="50" spans="7:8" x14ac:dyDescent="0.3">
      <c r="G50" s="25"/>
    </row>
    <row r="51" spans="7:8" x14ac:dyDescent="0.3">
      <c r="G51" s="25"/>
    </row>
  </sheetData>
  <mergeCells count="10">
    <mergeCell ref="N21:O21"/>
    <mergeCell ref="Q9:R9"/>
    <mergeCell ref="Q8:R8"/>
    <mergeCell ref="N9:O9"/>
    <mergeCell ref="N2:Q2"/>
    <mergeCell ref="P14:R14"/>
    <mergeCell ref="P15:Q15"/>
    <mergeCell ref="P16:Q16"/>
    <mergeCell ref="P17:Q17"/>
    <mergeCell ref="N8:O8"/>
  </mergeCells>
  <phoneticPr fontId="10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CE30-BFCC-4150-BA59-4DC63635F0CE}">
  <sheetPr>
    <tabColor theme="3" tint="0.749992370372631"/>
  </sheetPr>
  <dimension ref="A1:O21"/>
  <sheetViews>
    <sheetView topLeftCell="B1" zoomScale="80" zoomScaleNormal="80" workbookViewId="0">
      <selection activeCell="L7" sqref="L7"/>
    </sheetView>
  </sheetViews>
  <sheetFormatPr defaultRowHeight="14.4" x14ac:dyDescent="0.3"/>
  <cols>
    <col min="1" max="1" width="17.33203125" bestFit="1" customWidth="1"/>
    <col min="2" max="2" width="15.33203125" customWidth="1"/>
    <col min="3" max="3" width="16.88671875" bestFit="1" customWidth="1"/>
    <col min="4" max="4" width="13" style="17" bestFit="1" customWidth="1"/>
    <col min="5" max="5" width="17.109375" style="31" bestFit="1" customWidth="1"/>
    <col min="6" max="6" width="19.44140625" style="64" bestFit="1" customWidth="1"/>
    <col min="7" max="8" width="21.88671875" style="31" customWidth="1"/>
    <col min="11" max="11" width="26.6640625" bestFit="1" customWidth="1"/>
    <col min="12" max="12" width="12.5546875" customWidth="1"/>
    <col min="14" max="14" width="33.33203125" bestFit="1" customWidth="1"/>
    <col min="15" max="15" width="17.6640625" customWidth="1"/>
  </cols>
  <sheetData>
    <row r="1" spans="1:15" x14ac:dyDescent="0.3">
      <c r="A1" s="59" t="s">
        <v>46</v>
      </c>
      <c r="B1" s="60" t="s">
        <v>5</v>
      </c>
      <c r="C1" s="60" t="s">
        <v>47</v>
      </c>
      <c r="D1" s="75" t="s">
        <v>48</v>
      </c>
      <c r="E1" s="61" t="s">
        <v>49</v>
      </c>
      <c r="F1" s="62" t="s">
        <v>50</v>
      </c>
      <c r="G1" s="58" t="s">
        <v>51</v>
      </c>
      <c r="H1" s="58" t="s">
        <v>52</v>
      </c>
    </row>
    <row r="2" spans="1:15" x14ac:dyDescent="0.3">
      <c r="A2" s="33">
        <v>3001</v>
      </c>
      <c r="B2" s="33" t="s">
        <v>53</v>
      </c>
      <c r="C2" s="33" t="s">
        <v>54</v>
      </c>
      <c r="D2" s="38">
        <v>86766</v>
      </c>
      <c r="E2" s="40">
        <v>42005</v>
      </c>
      <c r="F2" s="63">
        <f ca="1">IFERROR(DATEDIF(Table5[[#This Row],[Joining Date]],TODAY(),"Y"),"Future Date")</f>
        <v>11</v>
      </c>
      <c r="G2" s="40" t="str">
        <f t="shared" ref="G2:G21" ca="1" si="0">IF(E2&lt;=TODAY(), ABS(TODAY()-E2)&amp;" Days", "Future Date")</f>
        <v>4110 Days</v>
      </c>
      <c r="H2" s="40" t="str">
        <f>TEXT(Table5[[#This Row],[Joining Date]],"MMM")</f>
        <v>Jan</v>
      </c>
      <c r="K2" s="97" t="s">
        <v>55</v>
      </c>
      <c r="L2" s="97"/>
      <c r="N2" s="79" t="s">
        <v>56</v>
      </c>
      <c r="O2" s="79" t="s">
        <v>57</v>
      </c>
    </row>
    <row r="3" spans="1:15" x14ac:dyDescent="0.3">
      <c r="A3" s="33">
        <v>3002</v>
      </c>
      <c r="B3" s="33" t="s">
        <v>58</v>
      </c>
      <c r="C3" s="33" t="s">
        <v>54</v>
      </c>
      <c r="D3" s="38">
        <v>31943</v>
      </c>
      <c r="E3" s="40">
        <v>42255</v>
      </c>
      <c r="F3" s="63">
        <f ca="1">IFERROR(DATEDIF(Table5[[#This Row],[Joining Date]],TODAY(),"Y"),"Future Date")</f>
        <v>10</v>
      </c>
      <c r="G3" s="40" t="str">
        <f t="shared" ca="1" si="0"/>
        <v>3860 Days</v>
      </c>
      <c r="H3" s="40" t="str">
        <f>TEXT(Table5[[#This Row],[Joining Date]],"MMM")</f>
        <v>Sep</v>
      </c>
      <c r="K3" s="66" t="s">
        <v>46</v>
      </c>
      <c r="L3" s="65">
        <v>3017</v>
      </c>
      <c r="N3" s="78" t="s">
        <v>54</v>
      </c>
      <c r="O3" s="74">
        <f>SUMIF(Table5[Department],"Finance",Table5[Salary])</f>
        <v>485714</v>
      </c>
    </row>
    <row r="4" spans="1:15" x14ac:dyDescent="0.3">
      <c r="A4" s="33">
        <v>3003</v>
      </c>
      <c r="B4" s="33" t="s">
        <v>59</v>
      </c>
      <c r="C4" s="33" t="s">
        <v>60</v>
      </c>
      <c r="D4" s="38">
        <v>63374</v>
      </c>
      <c r="E4" s="40">
        <v>42505</v>
      </c>
      <c r="F4" s="63">
        <f ca="1">IFERROR(DATEDIF(Table5[[#This Row],[Joining Date]],TODAY(),"Y"),"Future Date")</f>
        <v>9</v>
      </c>
      <c r="G4" s="40" t="str">
        <f t="shared" ca="1" si="0"/>
        <v>3610 Days</v>
      </c>
      <c r="H4" s="40" t="str">
        <f>TEXT(Table5[[#This Row],[Joining Date]],"MMM")</f>
        <v>May</v>
      </c>
      <c r="K4" s="66" t="s">
        <v>48</v>
      </c>
      <c r="L4" s="65">
        <f>_xlfn.XLOOKUP(L3,Table5[Employee ID],Table5[Salary],"Not Found",0)</f>
        <v>86915</v>
      </c>
      <c r="N4" s="43" t="s">
        <v>61</v>
      </c>
      <c r="O4" s="67">
        <f>SUMIF(Table5[Department],"IT",Table5[Salary])</f>
        <v>431204</v>
      </c>
    </row>
    <row r="5" spans="1:15" x14ac:dyDescent="0.3">
      <c r="A5" s="33">
        <v>3004</v>
      </c>
      <c r="B5" s="33" t="s">
        <v>62</v>
      </c>
      <c r="C5" s="33" t="s">
        <v>54</v>
      </c>
      <c r="D5" s="38">
        <v>109972</v>
      </c>
      <c r="E5" s="40">
        <v>42755</v>
      </c>
      <c r="F5" s="63">
        <f ca="1">IFERROR(DATEDIF(Table5[[#This Row],[Joining Date]],TODAY(),"Y"),"Future Date")</f>
        <v>9</v>
      </c>
      <c r="G5" s="40" t="str">
        <f t="shared" ca="1" si="0"/>
        <v>3360 Days</v>
      </c>
      <c r="H5" s="40" t="str">
        <f>TEXT(Table5[[#This Row],[Joining Date]],"MMM")</f>
        <v>Jan</v>
      </c>
      <c r="N5" s="43" t="s">
        <v>60</v>
      </c>
      <c r="O5" s="67">
        <f>SUMIF(Table5[Department],"HR",Table5[Salary])</f>
        <v>417713</v>
      </c>
    </row>
    <row r="6" spans="1:15" x14ac:dyDescent="0.3">
      <c r="A6" s="33">
        <v>3005</v>
      </c>
      <c r="B6" s="33" t="s">
        <v>63</v>
      </c>
      <c r="C6" s="33" t="s">
        <v>61</v>
      </c>
      <c r="D6" s="38">
        <v>54149</v>
      </c>
      <c r="E6" s="40">
        <v>43005</v>
      </c>
      <c r="F6" s="63">
        <f ca="1">IFERROR(DATEDIF(Table5[[#This Row],[Joining Date]],TODAY(),"Y"),"Future Date")</f>
        <v>8</v>
      </c>
      <c r="G6" s="40" t="str">
        <f t="shared" ca="1" si="0"/>
        <v>3110 Days</v>
      </c>
      <c r="H6" s="40" t="str">
        <f>TEXT(Table5[[#This Row],[Joining Date]],"MMM")</f>
        <v>Sep</v>
      </c>
      <c r="K6" s="66" t="s">
        <v>64</v>
      </c>
      <c r="L6" s="65">
        <v>3008</v>
      </c>
      <c r="N6" s="43" t="s">
        <v>65</v>
      </c>
      <c r="O6" s="67">
        <f>SUMIF(Table5[Department],"Marketing",Table5[Salary])</f>
        <v>252167</v>
      </c>
    </row>
    <row r="7" spans="1:15" x14ac:dyDescent="0.3">
      <c r="A7" s="33">
        <v>3006</v>
      </c>
      <c r="B7" s="33" t="s">
        <v>66</v>
      </c>
      <c r="C7" s="33" t="s">
        <v>61</v>
      </c>
      <c r="D7" s="38">
        <v>78689</v>
      </c>
      <c r="E7" s="40">
        <v>43255</v>
      </c>
      <c r="F7" s="63">
        <f ca="1">IFERROR(DATEDIF(Table5[[#This Row],[Joining Date]],TODAY(),"Y"),"Future Date")</f>
        <v>7</v>
      </c>
      <c r="G7" s="40" t="str">
        <f t="shared" ca="1" si="0"/>
        <v>2860 Days</v>
      </c>
      <c r="H7" s="40" t="str">
        <f>TEXT(Table5[[#This Row],[Joining Date]],"MMM")</f>
        <v>Jun</v>
      </c>
      <c r="K7" s="66" t="s">
        <v>67</v>
      </c>
      <c r="L7" s="65" t="str">
        <f>_xlfn.XLOOKUP(L6,Table5[Employee ID],Table5[Name],"Not Found",0)</f>
        <v>Employee 8</v>
      </c>
    </row>
    <row r="8" spans="1:15" x14ac:dyDescent="0.3">
      <c r="A8" s="33">
        <v>3007</v>
      </c>
      <c r="B8" s="33" t="s">
        <v>68</v>
      </c>
      <c r="C8" s="33" t="s">
        <v>65</v>
      </c>
      <c r="D8" s="38">
        <v>35960</v>
      </c>
      <c r="E8" s="40">
        <v>43505</v>
      </c>
      <c r="F8" s="63">
        <f ca="1">IFERROR(DATEDIF(Table5[[#This Row],[Joining Date]],TODAY(),"Y"),"Future Date")</f>
        <v>7</v>
      </c>
      <c r="G8" s="40" t="str">
        <f t="shared" ca="1" si="0"/>
        <v>2610 Days</v>
      </c>
      <c r="H8" s="40" t="str">
        <f>TEXT(Table5[[#This Row],[Joining Date]],"MMM")</f>
        <v>Feb</v>
      </c>
      <c r="K8" s="66" t="s">
        <v>48</v>
      </c>
      <c r="L8" s="65">
        <f>_xlfn.XLOOKUP(L7,Table5[Name],Table5[Salary],"Not Found",0)</f>
        <v>91659</v>
      </c>
      <c r="N8" s="79" t="s">
        <v>69</v>
      </c>
      <c r="O8" s="79" t="s">
        <v>70</v>
      </c>
    </row>
    <row r="9" spans="1:15" x14ac:dyDescent="0.3">
      <c r="A9" s="33">
        <v>3008</v>
      </c>
      <c r="B9" s="33" t="s">
        <v>71</v>
      </c>
      <c r="C9" s="33" t="s">
        <v>61</v>
      </c>
      <c r="D9" s="38">
        <v>91659</v>
      </c>
      <c r="E9" s="40">
        <v>43755</v>
      </c>
      <c r="F9" s="63">
        <f ca="1">IFERROR(DATEDIF(Table5[[#This Row],[Joining Date]],TODAY(),"Y"),"Future Date")</f>
        <v>6</v>
      </c>
      <c r="G9" s="40" t="str">
        <f t="shared" ca="1" si="0"/>
        <v>2360 Days</v>
      </c>
      <c r="H9" s="40" t="str">
        <f>TEXT(Table5[[#This Row],[Joining Date]],"MMM")</f>
        <v>Oct</v>
      </c>
      <c r="K9" s="66" t="s">
        <v>47</v>
      </c>
      <c r="L9" s="65" t="str">
        <f>_xlfn.XLOOKUP(L8,Table5[Salary],Table5[Department],"Not Found",0)</f>
        <v>IT</v>
      </c>
      <c r="N9" s="78" t="str">
        <f>N3</f>
        <v>Finance</v>
      </c>
      <c r="O9" s="74">
        <f>COUNTIFS(Table5[Department],"Finance",Table5[Salary],"&gt;100000")</f>
        <v>3</v>
      </c>
    </row>
    <row r="10" spans="1:15" x14ac:dyDescent="0.3">
      <c r="A10" s="33">
        <v>3009</v>
      </c>
      <c r="B10" s="33" t="s">
        <v>72</v>
      </c>
      <c r="C10" s="33" t="s">
        <v>61</v>
      </c>
      <c r="D10" s="38">
        <v>90423</v>
      </c>
      <c r="E10" s="40">
        <v>44005</v>
      </c>
      <c r="F10" s="63">
        <f ca="1">IFERROR(DATEDIF(Table5[[#This Row],[Joining Date]],TODAY(),"Y"),"Future Date")</f>
        <v>5</v>
      </c>
      <c r="G10" s="40" t="str">
        <f t="shared" ca="1" si="0"/>
        <v>2110 Days</v>
      </c>
      <c r="H10" s="40" t="str">
        <f>TEXT(Table5[[#This Row],[Joining Date]],"MMM")</f>
        <v>Jun</v>
      </c>
      <c r="N10" s="43" t="str">
        <f>N4</f>
        <v>IT</v>
      </c>
      <c r="O10" s="67">
        <f>COUNTIFS(Table5[Department],"HR",Table5[Salary],"&gt;100000")</f>
        <v>1</v>
      </c>
    </row>
    <row r="11" spans="1:15" x14ac:dyDescent="0.3">
      <c r="A11" s="33">
        <v>3010</v>
      </c>
      <c r="B11" s="33" t="s">
        <v>73</v>
      </c>
      <c r="C11" s="33" t="s">
        <v>60</v>
      </c>
      <c r="D11" s="38">
        <v>107877</v>
      </c>
      <c r="E11" s="40">
        <v>44255</v>
      </c>
      <c r="F11" s="63">
        <f ca="1">IFERROR(DATEDIF(Table5[[#This Row],[Joining Date]],TODAY(),"Y"),"Future Date")</f>
        <v>5</v>
      </c>
      <c r="G11" s="40" t="str">
        <f t="shared" ca="1" si="0"/>
        <v>1860 Days</v>
      </c>
      <c r="H11" s="40" t="str">
        <f>TEXT(Table5[[#This Row],[Joining Date]],"MMM")</f>
        <v>Feb</v>
      </c>
      <c r="K11" s="98" t="s">
        <v>74</v>
      </c>
      <c r="L11" s="99"/>
      <c r="N11" s="43" t="str">
        <f>N5</f>
        <v>HR</v>
      </c>
      <c r="O11" s="67">
        <f>COUNTIFS(Table5[Department],"IT",Table5[Salary],"&gt;100000")</f>
        <v>1</v>
      </c>
    </row>
    <row r="12" spans="1:15" x14ac:dyDescent="0.3">
      <c r="A12" s="33">
        <v>3011</v>
      </c>
      <c r="B12" s="33" t="s">
        <v>75</v>
      </c>
      <c r="C12" s="33" t="s">
        <v>54</v>
      </c>
      <c r="D12" s="38">
        <v>107634</v>
      </c>
      <c r="E12" s="40">
        <v>44505</v>
      </c>
      <c r="F12" s="63">
        <f ca="1">IFERROR(DATEDIF(Table5[[#This Row],[Joining Date]],TODAY(),"Y"),"Future Date")</f>
        <v>4</v>
      </c>
      <c r="G12" s="40" t="str">
        <f t="shared" ca="1" si="0"/>
        <v>1610 Days</v>
      </c>
      <c r="H12" s="40" t="str">
        <f>TEXT(Table5[[#This Row],[Joining Date]],"MMM")</f>
        <v>Nov</v>
      </c>
      <c r="K12" s="43" t="s">
        <v>76</v>
      </c>
      <c r="L12" s="67">
        <f ca="1">OFFSET(A6,1,0)</f>
        <v>3006</v>
      </c>
      <c r="N12" s="43" t="str">
        <f>N6</f>
        <v>Marketing</v>
      </c>
      <c r="O12" s="67">
        <f>COUNTIFS(Table5[Department],"Marketing",Table5[Salary],"&gt;100000")</f>
        <v>1</v>
      </c>
    </row>
    <row r="13" spans="1:15" x14ac:dyDescent="0.3">
      <c r="A13" s="33">
        <v>3012</v>
      </c>
      <c r="B13" s="33" t="s">
        <v>77</v>
      </c>
      <c r="C13" s="33" t="s">
        <v>54</v>
      </c>
      <c r="D13" s="38">
        <v>35226</v>
      </c>
      <c r="E13" s="40">
        <v>44755</v>
      </c>
      <c r="F13" s="63">
        <f ca="1">IFERROR(DATEDIF(Table5[[#This Row],[Joining Date]],TODAY(),"Y"),"Future Date")</f>
        <v>3</v>
      </c>
      <c r="G13" s="40" t="str">
        <f t="shared" ca="1" si="0"/>
        <v>1360 Days</v>
      </c>
      <c r="H13" s="40" t="str">
        <f>TEXT(Table5[[#This Row],[Joining Date]],"MMM")</f>
        <v>Jul</v>
      </c>
      <c r="K13" s="43" t="s">
        <v>78</v>
      </c>
      <c r="L13" s="67" cm="1">
        <f t="array" aca="1" ref="L13" ca="1">INDIRECT("A12")</f>
        <v>3011</v>
      </c>
    </row>
    <row r="14" spans="1:15" x14ac:dyDescent="0.3">
      <c r="A14" s="33">
        <v>3013</v>
      </c>
      <c r="B14" s="33" t="s">
        <v>79</v>
      </c>
      <c r="C14" s="33" t="s">
        <v>60</v>
      </c>
      <c r="D14" s="38">
        <v>40872</v>
      </c>
      <c r="E14" s="40">
        <v>45005</v>
      </c>
      <c r="F14" s="63">
        <f ca="1">IFERROR(DATEDIF(Table5[[#This Row],[Joining Date]],TODAY(),"Y"),"Future Date")</f>
        <v>3</v>
      </c>
      <c r="G14" s="40" t="str">
        <f t="shared" ca="1" si="0"/>
        <v>1110 Days</v>
      </c>
      <c r="H14" s="40" t="str">
        <f>TEXT(Table5[[#This Row],[Joining Date]],"MMM")</f>
        <v>Mar</v>
      </c>
      <c r="N14" s="79" t="s">
        <v>80</v>
      </c>
      <c r="O14" s="79" t="s">
        <v>81</v>
      </c>
    </row>
    <row r="15" spans="1:15" x14ac:dyDescent="0.3">
      <c r="A15" s="33">
        <v>3014</v>
      </c>
      <c r="B15" s="33" t="s">
        <v>82</v>
      </c>
      <c r="C15" s="33" t="s">
        <v>60</v>
      </c>
      <c r="D15" s="38">
        <v>55378</v>
      </c>
      <c r="E15" s="40">
        <v>45255</v>
      </c>
      <c r="F15" s="63">
        <f ca="1">IFERROR(DATEDIF(Table5[[#This Row],[Joining Date]],TODAY(),"Y"),"Future Date")</f>
        <v>2</v>
      </c>
      <c r="G15" s="40" t="str">
        <f t="shared" ca="1" si="0"/>
        <v>860 Days</v>
      </c>
      <c r="H15" s="40" t="str">
        <f>TEXT(Table5[[#This Row],[Joining Date]],"MMM")</f>
        <v>Nov</v>
      </c>
      <c r="N15" s="78" t="s">
        <v>61</v>
      </c>
      <c r="O15" s="74">
        <f>AVERAGEIF(Table5[Department],"IT",Table5[Salary])</f>
        <v>86240.8</v>
      </c>
    </row>
    <row r="16" spans="1:15" x14ac:dyDescent="0.3">
      <c r="A16" s="33">
        <v>3015</v>
      </c>
      <c r="B16" s="33" t="s">
        <v>83</v>
      </c>
      <c r="C16" s="33" t="s">
        <v>60</v>
      </c>
      <c r="D16" s="38">
        <v>63297</v>
      </c>
      <c r="E16" s="40">
        <v>45505</v>
      </c>
      <c r="F16" s="63">
        <f ca="1">IFERROR(DATEDIF(Table5[[#This Row],[Joining Date]],TODAY(),"Y"),"Future Date")</f>
        <v>1</v>
      </c>
      <c r="G16" s="40" t="str">
        <f t="shared" ca="1" si="0"/>
        <v>610 Days</v>
      </c>
      <c r="H16" s="40" t="str">
        <f>TEXT(Table5[[#This Row],[Joining Date]],"MMM")</f>
        <v>Aug</v>
      </c>
      <c r="N16" s="43" t="s">
        <v>65</v>
      </c>
      <c r="O16" s="67">
        <f>AVERAGEIF(Table5[Department],"Marketing",Table5[Salary])</f>
        <v>84055.666666666672</v>
      </c>
    </row>
    <row r="17" spans="1:15" x14ac:dyDescent="0.3">
      <c r="A17" s="33">
        <v>3016</v>
      </c>
      <c r="B17" s="33" t="s">
        <v>84</v>
      </c>
      <c r="C17" s="33" t="s">
        <v>54</v>
      </c>
      <c r="D17" s="38">
        <v>114173</v>
      </c>
      <c r="E17" s="40">
        <v>45755</v>
      </c>
      <c r="F17" s="63">
        <f ca="1">IFERROR(DATEDIF(Table5[[#This Row],[Joining Date]],TODAY(),"Y"),"Future Date")</f>
        <v>0</v>
      </c>
      <c r="G17" s="40" t="str">
        <f t="shared" ca="1" si="0"/>
        <v>360 Days</v>
      </c>
      <c r="H17" s="40" t="str">
        <f>TEXT(Table5[[#This Row],[Joining Date]],"MMM")</f>
        <v>Apr</v>
      </c>
      <c r="N17" s="43" t="s">
        <v>54</v>
      </c>
      <c r="O17" s="67">
        <f>AVERAGEIF(Table5[Department],"Finance",Table5[Salary])</f>
        <v>80952.333333333328</v>
      </c>
    </row>
    <row r="18" spans="1:15" x14ac:dyDescent="0.3">
      <c r="A18" s="33">
        <v>3017</v>
      </c>
      <c r="B18" s="33" t="s">
        <v>85</v>
      </c>
      <c r="C18" s="33" t="s">
        <v>60</v>
      </c>
      <c r="D18" s="38">
        <v>86915</v>
      </c>
      <c r="E18" s="40">
        <v>46005</v>
      </c>
      <c r="F18" s="63">
        <f ca="1">IFERROR(DATEDIF(Table5[[#This Row],[Joining Date]],TODAY(),"Y"),"Future Date")</f>
        <v>0</v>
      </c>
      <c r="G18" s="40" t="str">
        <f t="shared" ca="1" si="0"/>
        <v>110 Days</v>
      </c>
      <c r="H18" s="40" t="str">
        <f>TEXT(Table5[[#This Row],[Joining Date]],"MMM")</f>
        <v>Dec</v>
      </c>
      <c r="N18" s="43" t="s">
        <v>60</v>
      </c>
      <c r="O18" s="67">
        <f>AVERAGEIF(Table5[Department],"HR",Table5[Salary])</f>
        <v>69618.833333333328</v>
      </c>
    </row>
    <row r="19" spans="1:15" x14ac:dyDescent="0.3">
      <c r="A19" s="33">
        <v>3018</v>
      </c>
      <c r="B19" s="33" t="s">
        <v>86</v>
      </c>
      <c r="C19" s="33" t="s">
        <v>61</v>
      </c>
      <c r="D19" s="38">
        <v>116284</v>
      </c>
      <c r="E19" s="40">
        <v>46255</v>
      </c>
      <c r="F19" s="63" t="str">
        <f ca="1">IFERROR(DATEDIF(Table5[[#This Row],[Joining Date]],TODAY(),"Y"),"Future Date")</f>
        <v>Future Date</v>
      </c>
      <c r="G19" s="40" t="str">
        <f t="shared" ca="1" si="0"/>
        <v>Future Date</v>
      </c>
      <c r="H19" s="40" t="str">
        <f>TEXT(Table5[[#This Row],[Joining Date]],"MMM")</f>
        <v>Aug</v>
      </c>
    </row>
    <row r="20" spans="1:15" x14ac:dyDescent="0.3">
      <c r="A20" s="33">
        <v>3019</v>
      </c>
      <c r="B20" s="33" t="s">
        <v>87</v>
      </c>
      <c r="C20" s="33" t="s">
        <v>65</v>
      </c>
      <c r="D20" s="38">
        <v>116283</v>
      </c>
      <c r="E20" s="40">
        <v>46505</v>
      </c>
      <c r="F20" s="63" t="str">
        <f ca="1">IFERROR(DATEDIF(Table5[[#This Row],[Joining Date]],TODAY(),"Y"),"Future Date")</f>
        <v>Future Date</v>
      </c>
      <c r="G20" s="40" t="str">
        <f t="shared" ca="1" si="0"/>
        <v>Future Date</v>
      </c>
      <c r="H20" s="40" t="str">
        <f>TEXT(Table5[[#This Row],[Joining Date]],"MMM")</f>
        <v>Apr</v>
      </c>
    </row>
    <row r="21" spans="1:15" x14ac:dyDescent="0.3">
      <c r="A21" s="33">
        <v>3020</v>
      </c>
      <c r="B21" s="33" t="s">
        <v>88</v>
      </c>
      <c r="C21" s="33" t="s">
        <v>65</v>
      </c>
      <c r="D21" s="38">
        <v>99924</v>
      </c>
      <c r="E21" s="40">
        <v>46755</v>
      </c>
      <c r="F21" s="63" t="str">
        <f ca="1">IFERROR(DATEDIF(Table5[[#This Row],[Joining Date]],TODAY(),"Y"),"Future Date")</f>
        <v>Future Date</v>
      </c>
      <c r="G21" s="40" t="str">
        <f t="shared" ca="1" si="0"/>
        <v>Future Date</v>
      </c>
      <c r="H21" s="40" t="str">
        <f>TEXT(Table5[[#This Row],[Joining Date]],"MMM")</f>
        <v>Jan</v>
      </c>
    </row>
  </sheetData>
  <sortState xmlns:xlrd2="http://schemas.microsoft.com/office/spreadsheetml/2017/richdata2" ref="N15:O18">
    <sortCondition descending="1" ref="O15:O18"/>
  </sortState>
  <mergeCells count="2">
    <mergeCell ref="K2:L2"/>
    <mergeCell ref="K11:L1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8AA6-45B9-450A-B6E0-24D742BEA63A}">
  <sheetPr>
    <tabColor theme="8" tint="0.39997558519241921"/>
  </sheetPr>
  <dimension ref="B3:Y29"/>
  <sheetViews>
    <sheetView topLeftCell="J1" zoomScale="78" workbookViewId="0">
      <selection activeCell="R7" sqref="R7"/>
    </sheetView>
  </sheetViews>
  <sheetFormatPr defaultRowHeight="14.4" x14ac:dyDescent="0.3"/>
  <cols>
    <col min="2" max="2" width="14.33203125" style="16" bestFit="1" customWidth="1"/>
    <col min="3" max="3" width="14.6640625" bestFit="1" customWidth="1"/>
    <col min="4" max="4" width="13.6640625" bestFit="1" customWidth="1"/>
    <col min="5" max="5" width="18.33203125" bestFit="1" customWidth="1"/>
    <col min="6" max="6" width="17.44140625" style="17" customWidth="1"/>
    <col min="7" max="7" width="16" style="31" customWidth="1"/>
    <col min="8" max="8" width="13.6640625" bestFit="1" customWidth="1"/>
    <col min="9" max="9" width="10.88671875" customWidth="1"/>
    <col min="10" max="10" width="15.33203125" bestFit="1" customWidth="1"/>
    <col min="11" max="11" width="23.33203125" style="56" bestFit="1" customWidth="1"/>
    <col min="12" max="12" width="21.33203125" style="17" bestFit="1" customWidth="1"/>
    <col min="13" max="13" width="17.33203125" style="17" bestFit="1" customWidth="1"/>
    <col min="14" max="14" width="17.109375" style="17" bestFit="1" customWidth="1"/>
    <col min="16" max="16" width="16.6640625" customWidth="1"/>
    <col min="17" max="17" width="23.33203125" customWidth="1"/>
    <col min="18" max="18" width="18.33203125" customWidth="1"/>
    <col min="19" max="19" width="9.88671875" customWidth="1"/>
    <col min="20" max="20" width="28.6640625" bestFit="1" customWidth="1"/>
    <col min="21" max="21" width="14.6640625" customWidth="1"/>
    <col min="23" max="23" width="11.109375" customWidth="1"/>
    <col min="24" max="24" width="10.5546875" bestFit="1" customWidth="1"/>
    <col min="25" max="25" width="10.44140625" bestFit="1" customWidth="1"/>
  </cols>
  <sheetData>
    <row r="3" spans="2:25" ht="15" thickBot="1" x14ac:dyDescent="0.35">
      <c r="B3" s="34" t="s">
        <v>89</v>
      </c>
      <c r="C3" s="35" t="s">
        <v>90</v>
      </c>
      <c r="D3" s="35" t="s">
        <v>91</v>
      </c>
      <c r="E3" s="35" t="s">
        <v>92</v>
      </c>
      <c r="F3" s="36" t="s">
        <v>93</v>
      </c>
      <c r="G3" s="39" t="s">
        <v>94</v>
      </c>
      <c r="H3" s="32" t="s">
        <v>95</v>
      </c>
      <c r="I3" s="32" t="s">
        <v>96</v>
      </c>
      <c r="J3" s="32" t="s">
        <v>97</v>
      </c>
      <c r="K3" s="57" t="s">
        <v>98</v>
      </c>
      <c r="L3" s="54" t="s">
        <v>99</v>
      </c>
      <c r="M3" s="54" t="s">
        <v>100</v>
      </c>
      <c r="N3" s="54" t="s">
        <v>101</v>
      </c>
      <c r="P3" s="81" t="s">
        <v>102</v>
      </c>
      <c r="Q3" s="82"/>
      <c r="R3" s="82"/>
      <c r="T3" s="80" t="s">
        <v>103</v>
      </c>
      <c r="U3" s="80"/>
    </row>
    <row r="4" spans="2:25" x14ac:dyDescent="0.3">
      <c r="B4" s="37">
        <v>2001</v>
      </c>
      <c r="C4" s="33" t="s">
        <v>104</v>
      </c>
      <c r="D4" s="33" t="s">
        <v>105</v>
      </c>
      <c r="E4" s="33" t="s">
        <v>106</v>
      </c>
      <c r="F4" s="38">
        <v>7048</v>
      </c>
      <c r="G4" s="40">
        <v>44927</v>
      </c>
      <c r="H4" s="33" t="str">
        <f>TEXT(Table48[[#This Row],[Date]],"MMM")</f>
        <v>Jan</v>
      </c>
      <c r="I4" s="33" t="str">
        <f>TEXT(Table48[[#This Row],[Date]],"DDD")</f>
        <v>Sun</v>
      </c>
      <c r="J4" s="33" t="str">
        <f>IF(Table48[[#This Row],[Amount]]&gt;=40000,"10% OFF",IF(Table48[[#This Row],[Amount]]&gt;=30000,"5% OFF","No Discount"))</f>
        <v>No Discount</v>
      </c>
      <c r="K4" s="55" cm="1">
        <f t="array" ref="K4">_xlfn.IFS(Table48[[#This Row],[Discount]]="10% OFF", Table48[[#This Row],[Amount]]*10%,Table48[[#This Row],[Discount]]="5% OFF",Table48[[#This Row],[Amount]]*5%,Table48[[#This Row],[Discount]]="No Discount", 0)</f>
        <v>0</v>
      </c>
      <c r="L4" s="52">
        <f>ROUND(Table48[[#This Row],[Discount Amount]],0)</f>
        <v>0</v>
      </c>
      <c r="M4" s="52">
        <f>CEILING(Table48[[#This Row],[Discount Amount]],100)</f>
        <v>0</v>
      </c>
      <c r="N4" s="52">
        <f>FLOOR(Table48[[#This Row],[Discount Amount]],100)</f>
        <v>0</v>
      </c>
      <c r="P4" s="43" t="s">
        <v>107</v>
      </c>
      <c r="Q4" s="43" t="s">
        <v>108</v>
      </c>
      <c r="R4" s="43" t="s">
        <v>109</v>
      </c>
      <c r="S4" s="46"/>
      <c r="T4" s="50" t="s">
        <v>110</v>
      </c>
      <c r="U4" s="51">
        <f>SUMIFS(Table48[Amount],Table48[Region],"East",Table48[Product],"Keyboard")</f>
        <v>80349</v>
      </c>
    </row>
    <row r="5" spans="2:25" x14ac:dyDescent="0.3">
      <c r="B5" s="37">
        <v>2002</v>
      </c>
      <c r="C5" s="33" t="s">
        <v>111</v>
      </c>
      <c r="D5" s="33" t="s">
        <v>112</v>
      </c>
      <c r="E5" s="33" t="s">
        <v>113</v>
      </c>
      <c r="F5" s="38">
        <v>17428</v>
      </c>
      <c r="G5" s="40">
        <v>44942</v>
      </c>
      <c r="H5" s="33" t="str">
        <f>TEXT(Table48[[#This Row],[Date]],"MMM")</f>
        <v>Jan</v>
      </c>
      <c r="I5" s="33" t="str">
        <f>TEXT(Table48[[#This Row],[Date]],"DDD")</f>
        <v>Mon</v>
      </c>
      <c r="J5" s="33" t="str">
        <f>IF(Table48[[#This Row],[Amount]]&gt;=40000,"10% OFF",IF(Table48[[#This Row],[Amount]]&gt;=30000,"5% OFF","No Discount"))</f>
        <v>No Discount</v>
      </c>
      <c r="K5" s="55" cm="1">
        <f t="array" ref="K5">_xlfn.IFS(Table48[[#This Row],[Discount]]="10% OFF", Table48[[#This Row],[Amount]]*10%,Table48[[#This Row],[Discount]]="5% OFF",Table48[[#This Row],[Amount]]*5%,Table48[[#This Row],[Discount]]="No Discount", 0)</f>
        <v>0</v>
      </c>
      <c r="L5" s="33">
        <f>ROUND(Table48[[#This Row],[Discount Amount]],0)</f>
        <v>0</v>
      </c>
      <c r="M5" s="33">
        <f>CEILING(Table48[[#This Row],[Discount Amount]],100)</f>
        <v>0</v>
      </c>
      <c r="N5" s="33">
        <f>FLOOR(Table48[[#This Row],[Discount Amount]],100)</f>
        <v>0</v>
      </c>
      <c r="P5" s="50" t="s">
        <v>114</v>
      </c>
      <c r="Q5" s="48" t="s">
        <v>115</v>
      </c>
      <c r="R5" s="49">
        <f>_xlfn.MINIFS(Table48[Amount], Table48[Product], Q5)</f>
        <v>35611</v>
      </c>
      <c r="T5" s="41" t="s">
        <v>116</v>
      </c>
      <c r="U5" s="42">
        <f>SUMIFS(Table48[Amount],Table48[Region],"North",Table48[Product],"Keyboard")</f>
        <v>43388</v>
      </c>
      <c r="W5" s="24"/>
      <c r="X5" s="24"/>
      <c r="Y5" s="24"/>
    </row>
    <row r="6" spans="2:25" x14ac:dyDescent="0.3">
      <c r="B6" s="37">
        <v>2003</v>
      </c>
      <c r="C6" s="33" t="s">
        <v>117</v>
      </c>
      <c r="D6" s="33" t="s">
        <v>105</v>
      </c>
      <c r="E6" s="33" t="s">
        <v>118</v>
      </c>
      <c r="F6" s="38">
        <v>23672</v>
      </c>
      <c r="G6" s="40">
        <v>44957</v>
      </c>
      <c r="H6" s="33" t="str">
        <f>TEXT(Table48[[#This Row],[Date]],"MMM")</f>
        <v>Jan</v>
      </c>
      <c r="I6" s="33" t="str">
        <f>TEXT(Table48[[#This Row],[Date]],"DDD")</f>
        <v>Tue</v>
      </c>
      <c r="J6" s="33" t="str">
        <f>IF(Table48[[#This Row],[Amount]]&gt;=40000,"10% OFF",IF(Table48[[#This Row],[Amount]]&gt;=30000,"5% OFF","No Discount"))</f>
        <v>No Discount</v>
      </c>
      <c r="K6" s="55" cm="1">
        <f t="array" ref="K6">_xlfn.IFS(Table48[[#This Row],[Discount]]="10% OFF", Table48[[#This Row],[Amount]]*10%,Table48[[#This Row],[Discount]]="5% OFF",Table48[[#This Row],[Amount]]*5%,Table48[[#This Row],[Discount]]="No Discount", 0)</f>
        <v>0</v>
      </c>
      <c r="L6" s="33">
        <f>ROUND(Table48[[#This Row],[Discount Amount]],0)</f>
        <v>0</v>
      </c>
      <c r="M6" s="33">
        <f>CEILING(Table48[[#This Row],[Discount Amount]],100)</f>
        <v>0</v>
      </c>
      <c r="N6" s="33">
        <f>FLOOR(Table48[[#This Row],[Discount Amount]],100)</f>
        <v>0</v>
      </c>
      <c r="P6" s="41" t="s">
        <v>119</v>
      </c>
      <c r="Q6" s="44" t="s">
        <v>120</v>
      </c>
      <c r="R6" s="45">
        <f>_xlfn.MINIFS(Table48[Amount], Table48[Product], Q6)</f>
        <v>7283</v>
      </c>
      <c r="T6" s="41" t="s">
        <v>105</v>
      </c>
      <c r="U6" s="42">
        <f>SUMIFS(Table48[Amount],Table48[Region],"South",Table48[Product],"Keyboard")</f>
        <v>42233</v>
      </c>
      <c r="W6" s="24"/>
    </row>
    <row r="7" spans="2:25" x14ac:dyDescent="0.3">
      <c r="B7" s="37">
        <v>2004</v>
      </c>
      <c r="C7" s="33" t="s">
        <v>111</v>
      </c>
      <c r="D7" s="33" t="s">
        <v>110</v>
      </c>
      <c r="E7" s="33" t="s">
        <v>121</v>
      </c>
      <c r="F7" s="38">
        <v>5264</v>
      </c>
      <c r="G7" s="40">
        <v>44972</v>
      </c>
      <c r="H7" s="33" t="str">
        <f>TEXT(Table48[[#This Row],[Date]],"MMM")</f>
        <v>Feb</v>
      </c>
      <c r="I7" s="33" t="str">
        <f>TEXT(Table48[[#This Row],[Date]],"DDD")</f>
        <v>Wed</v>
      </c>
      <c r="J7" s="33" t="str">
        <f>IF(Table48[[#This Row],[Amount]]&gt;=40000,"10% OFF",IF(Table48[[#This Row],[Amount]]&gt;=30000,"5% OFF","No Discount"))</f>
        <v>No Discount</v>
      </c>
      <c r="K7" s="55" cm="1">
        <f t="array" ref="K7">_xlfn.IFS(Table48[[#This Row],[Discount]]="10% OFF", Table48[[#This Row],[Amount]]*10%,Table48[[#This Row],[Discount]]="5% OFF",Table48[[#This Row],[Amount]]*5%,Table48[[#This Row],[Discount]]="No Discount", 0)</f>
        <v>0</v>
      </c>
      <c r="L7" s="33">
        <f>ROUND(Table48[[#This Row],[Discount Amount]],0)</f>
        <v>0</v>
      </c>
      <c r="M7" s="33">
        <f>CEILING(Table48[[#This Row],[Discount Amount]],100)</f>
        <v>0</v>
      </c>
      <c r="N7" s="33">
        <f>FLOOR(Table48[[#This Row],[Discount Amount]],100)</f>
        <v>0</v>
      </c>
      <c r="P7" s="41" t="s">
        <v>122</v>
      </c>
      <c r="Q7" s="44" t="s">
        <v>104</v>
      </c>
      <c r="R7" s="45">
        <f>_xlfn.MINIFS(Table48[Amount], Table48[Product], Q7)</f>
        <v>7048</v>
      </c>
      <c r="T7" s="41" t="s">
        <v>112</v>
      </c>
      <c r="U7" s="42">
        <f>SUMIFS(Table48[Amount],Table48[Region],"West",Table48[Product],"Keyboard")</f>
        <v>0</v>
      </c>
    </row>
    <row r="8" spans="2:25" x14ac:dyDescent="0.3">
      <c r="B8" s="37">
        <v>2005</v>
      </c>
      <c r="C8" s="33" t="s">
        <v>104</v>
      </c>
      <c r="D8" s="33" t="s">
        <v>116</v>
      </c>
      <c r="E8" s="33" t="s">
        <v>123</v>
      </c>
      <c r="F8" s="38">
        <v>43388</v>
      </c>
      <c r="G8" s="40">
        <v>44987</v>
      </c>
      <c r="H8" s="33" t="str">
        <f>TEXT(Table48[[#This Row],[Date]],"MMM")</f>
        <v>Mar</v>
      </c>
      <c r="I8" s="33" t="str">
        <f>TEXT(Table48[[#This Row],[Date]],"DDD")</f>
        <v>Thu</v>
      </c>
      <c r="J8" s="33" t="str">
        <f>IF(Table48[[#This Row],[Amount]]&gt;=40000,"10% OFF",IF(Table48[[#This Row],[Amount]]&gt;=30000,"5% OFF","No Discount"))</f>
        <v>10% OFF</v>
      </c>
      <c r="K8" s="55" cm="1">
        <f t="array" ref="K8">_xlfn.IFS(Table48[[#This Row],[Discount]]="10% OFF", Table48[[#This Row],[Amount]]*10%,Table48[[#This Row],[Discount]]="5% OFF",Table48[[#This Row],[Amount]]*5%,Table48[[#This Row],[Discount]]="No Discount", 0)</f>
        <v>4338.8</v>
      </c>
      <c r="L8" s="33">
        <f>ROUND(Table48[[#This Row],[Discount Amount]],0)</f>
        <v>4339</v>
      </c>
      <c r="M8" s="33">
        <f>CEILING(Table48[[#This Row],[Discount Amount]],100)</f>
        <v>4400</v>
      </c>
      <c r="N8" s="33">
        <f>FLOOR(Table48[[#This Row],[Discount Amount]],100)</f>
        <v>4300</v>
      </c>
      <c r="P8" s="41" t="s">
        <v>124</v>
      </c>
      <c r="Q8" s="44" t="s">
        <v>117</v>
      </c>
      <c r="R8" s="45">
        <f>_xlfn.MINIFS(Table48[Amount], Table48[Product], Q8)</f>
        <v>5277</v>
      </c>
    </row>
    <row r="9" spans="2:25" x14ac:dyDescent="0.3">
      <c r="B9" s="37">
        <v>2006</v>
      </c>
      <c r="C9" s="33" t="s">
        <v>117</v>
      </c>
      <c r="D9" s="33" t="s">
        <v>116</v>
      </c>
      <c r="E9" s="33" t="s">
        <v>125</v>
      </c>
      <c r="F9" s="38">
        <v>19757</v>
      </c>
      <c r="G9" s="40">
        <v>45002</v>
      </c>
      <c r="H9" s="33" t="str">
        <f>TEXT(Table48[[#This Row],[Date]],"MMM")</f>
        <v>Mar</v>
      </c>
      <c r="I9" s="33" t="str">
        <f>TEXT(Table48[[#This Row],[Date]],"DDD")</f>
        <v>Fri</v>
      </c>
      <c r="J9" s="33" t="str">
        <f>IF(Table48[[#This Row],[Amount]]&gt;=40000,"10% OFF",IF(Table48[[#This Row],[Amount]]&gt;=30000,"5% OFF","No Discount"))</f>
        <v>No Discount</v>
      </c>
      <c r="K9" s="55" cm="1">
        <f t="array" ref="K9">_xlfn.IFS(Table48[[#This Row],[Discount]]="10% OFF", Table48[[#This Row],[Amount]]*10%,Table48[[#This Row],[Discount]]="5% OFF",Table48[[#This Row],[Amount]]*5%,Table48[[#This Row],[Discount]]="No Discount", 0)</f>
        <v>0</v>
      </c>
      <c r="L9" s="33">
        <f>ROUND(Table48[[#This Row],[Discount Amount]],0)</f>
        <v>0</v>
      </c>
      <c r="M9" s="33">
        <f>CEILING(Table48[[#This Row],[Discount Amount]],100)</f>
        <v>0</v>
      </c>
      <c r="N9" s="33">
        <f>FLOOR(Table48[[#This Row],[Discount Amount]],100)</f>
        <v>0</v>
      </c>
      <c r="P9" s="41" t="s">
        <v>126</v>
      </c>
      <c r="Q9" s="44" t="s">
        <v>111</v>
      </c>
      <c r="R9" s="45">
        <f>_xlfn.MINIFS(Table48[Amount], Table48[Product], Q9)</f>
        <v>5264</v>
      </c>
      <c r="T9" s="81" t="s">
        <v>127</v>
      </c>
      <c r="U9" s="83"/>
    </row>
    <row r="10" spans="2:25" x14ac:dyDescent="0.3">
      <c r="B10" s="37">
        <v>2007</v>
      </c>
      <c r="C10" s="33" t="s">
        <v>117</v>
      </c>
      <c r="D10" s="33" t="s">
        <v>110</v>
      </c>
      <c r="E10" s="33" t="s">
        <v>128</v>
      </c>
      <c r="F10" s="38">
        <v>32058</v>
      </c>
      <c r="G10" s="40">
        <v>45017</v>
      </c>
      <c r="H10" s="33" t="str">
        <f>TEXT(Table48[[#This Row],[Date]],"MMM")</f>
        <v>Apr</v>
      </c>
      <c r="I10" s="33" t="str">
        <f>TEXT(Table48[[#This Row],[Date]],"DDD")</f>
        <v>Sat</v>
      </c>
      <c r="J10" s="33" t="str">
        <f>IF(Table48[[#This Row],[Amount]]&gt;=40000,"10% OFF",IF(Table48[[#This Row],[Amount]]&gt;=30000,"5% OFF","No Discount"))</f>
        <v>5% OFF</v>
      </c>
      <c r="K10" s="55" cm="1">
        <f t="array" ref="K10">_xlfn.IFS(Table48[[#This Row],[Discount]]="10% OFF", Table48[[#This Row],[Amount]]*10%,Table48[[#This Row],[Discount]]="5% OFF",Table48[[#This Row],[Amount]]*5%,Table48[[#This Row],[Discount]]="No Discount", 0)</f>
        <v>1602.9</v>
      </c>
      <c r="L10" s="33">
        <f>ROUND(Table48[[#This Row],[Discount Amount]],0)</f>
        <v>1603</v>
      </c>
      <c r="M10" s="33">
        <f>CEILING(Table48[[#This Row],[Discount Amount]],100)</f>
        <v>1700</v>
      </c>
      <c r="N10" s="33">
        <f>FLOOR(Table48[[#This Row],[Discount Amount]],100)</f>
        <v>1600</v>
      </c>
      <c r="T10" s="50" t="s">
        <v>110</v>
      </c>
      <c r="U10" s="51">
        <f>SUMIFS(Table48[Amount],Table48[Region],"East")</f>
        <v>173932</v>
      </c>
    </row>
    <row r="11" spans="2:25" x14ac:dyDescent="0.3">
      <c r="B11" s="37">
        <v>2008</v>
      </c>
      <c r="C11" s="33" t="s">
        <v>104</v>
      </c>
      <c r="D11" s="33" t="s">
        <v>110</v>
      </c>
      <c r="E11" s="33" t="s">
        <v>129</v>
      </c>
      <c r="F11" s="38">
        <v>46429</v>
      </c>
      <c r="G11" s="40">
        <v>45032</v>
      </c>
      <c r="H11" s="33" t="str">
        <f>TEXT(Table48[[#This Row],[Date]],"MMM")</f>
        <v>Apr</v>
      </c>
      <c r="I11" s="33" t="str">
        <f>TEXT(Table48[[#This Row],[Date]],"DDD")</f>
        <v>Sun</v>
      </c>
      <c r="J11" s="33" t="str">
        <f>IF(Table48[[#This Row],[Amount]]&gt;=40000,"10% OFF",IF(Table48[[#This Row],[Amount]]&gt;=30000,"5% OFF","No Discount"))</f>
        <v>10% OFF</v>
      </c>
      <c r="K11" s="55" cm="1">
        <f t="array" ref="K11">_xlfn.IFS(Table48[[#This Row],[Discount]]="10% OFF", Table48[[#This Row],[Amount]]*10%,Table48[[#This Row],[Discount]]="5% OFF",Table48[[#This Row],[Amount]]*5%,Table48[[#This Row],[Discount]]="No Discount", 0)</f>
        <v>4642.9000000000005</v>
      </c>
      <c r="L11" s="33">
        <f>ROUND(Table48[[#This Row],[Discount Amount]],0)</f>
        <v>4643</v>
      </c>
      <c r="M11" s="33">
        <f>CEILING(Table48[[#This Row],[Discount Amount]],100)</f>
        <v>4700</v>
      </c>
      <c r="N11" s="33">
        <f>FLOOR(Table48[[#This Row],[Discount Amount]],100)</f>
        <v>4600</v>
      </c>
      <c r="P11" s="80" t="s">
        <v>130</v>
      </c>
      <c r="Q11" s="80"/>
      <c r="R11" s="80"/>
      <c r="T11" s="41" t="s">
        <v>116</v>
      </c>
      <c r="U11" s="42">
        <f>SUMIFS(Table48[Amount],Table48[Region],"North")</f>
        <v>140627</v>
      </c>
    </row>
    <row r="12" spans="2:25" x14ac:dyDescent="0.3">
      <c r="B12" s="37">
        <v>2009</v>
      </c>
      <c r="C12" s="33" t="s">
        <v>111</v>
      </c>
      <c r="D12" s="33" t="s">
        <v>110</v>
      </c>
      <c r="E12" s="33" t="s">
        <v>131</v>
      </c>
      <c r="F12" s="38">
        <v>19746</v>
      </c>
      <c r="G12" s="40">
        <v>45047</v>
      </c>
      <c r="H12" s="33" t="str">
        <f>TEXT(Table48[[#This Row],[Date]],"MMM")</f>
        <v>May</v>
      </c>
      <c r="I12" s="33" t="str">
        <f>TEXT(Table48[[#This Row],[Date]],"DDD")</f>
        <v>Mon</v>
      </c>
      <c r="J12" s="33" t="str">
        <f>IF(Table48[[#This Row],[Amount]]&gt;=40000,"10% OFF",IF(Table48[[#This Row],[Amount]]&gt;=30000,"5% OFF","No Discount"))</f>
        <v>No Discount</v>
      </c>
      <c r="K12" s="55" cm="1">
        <f t="array" ref="K12">_xlfn.IFS(Table48[[#This Row],[Discount]]="10% OFF", Table48[[#This Row],[Amount]]*10%,Table48[[#This Row],[Discount]]="5% OFF",Table48[[#This Row],[Amount]]*5%,Table48[[#This Row],[Discount]]="No Discount", 0)</f>
        <v>0</v>
      </c>
      <c r="L12" s="33">
        <f>ROUND(Table48[[#This Row],[Discount Amount]],0)</f>
        <v>0</v>
      </c>
      <c r="M12" s="33">
        <f>CEILING(Table48[[#This Row],[Discount Amount]],100)</f>
        <v>0</v>
      </c>
      <c r="N12" s="33">
        <f>FLOOR(Table48[[#This Row],[Discount Amount]],100)</f>
        <v>0</v>
      </c>
      <c r="P12" s="43" t="s">
        <v>132</v>
      </c>
      <c r="Q12" s="43" t="s">
        <v>108</v>
      </c>
      <c r="R12" s="43" t="s">
        <v>133</v>
      </c>
      <c r="T12" s="41" t="s">
        <v>112</v>
      </c>
      <c r="U12" s="42">
        <f>SUMIFS(Table48[Amount],Table48[Region],"West")</f>
        <v>119978</v>
      </c>
    </row>
    <row r="13" spans="2:25" x14ac:dyDescent="0.3">
      <c r="B13" s="37">
        <v>2010</v>
      </c>
      <c r="C13" s="33" t="s">
        <v>104</v>
      </c>
      <c r="D13" s="33" t="s">
        <v>105</v>
      </c>
      <c r="E13" s="33" t="s">
        <v>134</v>
      </c>
      <c r="F13" s="38">
        <v>35185</v>
      </c>
      <c r="G13" s="40">
        <v>45062</v>
      </c>
      <c r="H13" s="33" t="str">
        <f>TEXT(Table48[[#This Row],[Date]],"MMM")</f>
        <v>May</v>
      </c>
      <c r="I13" s="33" t="str">
        <f>TEXT(Table48[[#This Row],[Date]],"DDD")</f>
        <v>Tue</v>
      </c>
      <c r="J13" s="33" t="str">
        <f>IF(Table48[[#This Row],[Amount]]&gt;=40000,"10% OFF",IF(Table48[[#This Row],[Amount]]&gt;=30000,"5% OFF","No Discount"))</f>
        <v>5% OFF</v>
      </c>
      <c r="K13" s="55" cm="1">
        <f t="array" ref="K13">_xlfn.IFS(Table48[[#This Row],[Discount]]="10% OFF", Table48[[#This Row],[Amount]]*10%,Table48[[#This Row],[Discount]]="5% OFF",Table48[[#This Row],[Amount]]*5%,Table48[[#This Row],[Discount]]="No Discount", 0)</f>
        <v>1759.25</v>
      </c>
      <c r="L13" s="33">
        <f>ROUND(Table48[[#This Row],[Discount Amount]],0)</f>
        <v>1759</v>
      </c>
      <c r="M13" s="33">
        <f>CEILING(Table48[[#This Row],[Discount Amount]],100)</f>
        <v>1800</v>
      </c>
      <c r="N13" s="33">
        <f>FLOOR(Table48[[#This Row],[Discount Amount]],100)</f>
        <v>1700</v>
      </c>
      <c r="P13" s="50" t="s">
        <v>114</v>
      </c>
      <c r="Q13" s="47" t="str">
        <f>VLOOKUP(P13,P5:R9,2,0)</f>
        <v>Monitor</v>
      </c>
      <c r="R13" s="51">
        <f>VLOOKUP(P13,P5:R9,3,0)</f>
        <v>35611</v>
      </c>
      <c r="T13" s="41" t="s">
        <v>105</v>
      </c>
      <c r="U13" s="42">
        <f>SUMIFS(Table48[Amount],Table48[Region],"South")</f>
        <v>73188</v>
      </c>
    </row>
    <row r="14" spans="2:25" x14ac:dyDescent="0.3">
      <c r="B14" s="37">
        <v>2011</v>
      </c>
      <c r="C14" s="33" t="s">
        <v>104</v>
      </c>
      <c r="D14" s="33" t="s">
        <v>110</v>
      </c>
      <c r="E14" s="33" t="s">
        <v>135</v>
      </c>
      <c r="F14" s="38">
        <v>33920</v>
      </c>
      <c r="G14" s="40">
        <v>45077</v>
      </c>
      <c r="H14" s="33" t="str">
        <f>TEXT(Table48[[#This Row],[Date]],"MMM")</f>
        <v>May</v>
      </c>
      <c r="I14" s="33" t="str">
        <f>TEXT(Table48[[#This Row],[Date]],"DDD")</f>
        <v>Wed</v>
      </c>
      <c r="J14" s="33" t="str">
        <f>IF(Table48[[#This Row],[Amount]]&gt;=40000,"10% OFF",IF(Table48[[#This Row],[Amount]]&gt;=30000,"5% OFF","No Discount"))</f>
        <v>5% OFF</v>
      </c>
      <c r="K14" s="55" cm="1">
        <f t="array" ref="K14">_xlfn.IFS(Table48[[#This Row],[Discount]]="10% OFF", Table48[[#This Row],[Amount]]*10%,Table48[[#This Row],[Discount]]="5% OFF",Table48[[#This Row],[Amount]]*5%,Table48[[#This Row],[Discount]]="No Discount", 0)</f>
        <v>1696</v>
      </c>
      <c r="L14" s="33">
        <f>ROUND(Table48[[#This Row],[Discount Amount]],0)</f>
        <v>1696</v>
      </c>
      <c r="M14" s="33">
        <f>CEILING(Table48[[#This Row],[Discount Amount]],100)</f>
        <v>1700</v>
      </c>
      <c r="N14" s="33">
        <f>FLOOR(Table48[[#This Row],[Discount Amount]],100)</f>
        <v>1600</v>
      </c>
      <c r="P14" s="41" t="s">
        <v>119</v>
      </c>
      <c r="Q14" s="19" t="str">
        <f>VLOOKUP(P14, P4:R9, 2, 0)</f>
        <v>Laptop</v>
      </c>
      <c r="R14" s="42">
        <f>VLOOKUP(P14,P4:R9,3,0)</f>
        <v>7283</v>
      </c>
    </row>
    <row r="15" spans="2:25" x14ac:dyDescent="0.3">
      <c r="B15" s="37">
        <v>2012</v>
      </c>
      <c r="C15" s="33" t="s">
        <v>115</v>
      </c>
      <c r="D15" s="33" t="s">
        <v>116</v>
      </c>
      <c r="E15" s="33" t="s">
        <v>136</v>
      </c>
      <c r="F15" s="38">
        <v>35611</v>
      </c>
      <c r="G15" s="40">
        <v>45092</v>
      </c>
      <c r="H15" s="33" t="str">
        <f>TEXT(Table48[[#This Row],[Date]],"MMM")</f>
        <v>Jun</v>
      </c>
      <c r="I15" s="33" t="str">
        <f>TEXT(Table48[[#This Row],[Date]],"DDD")</f>
        <v>Thu</v>
      </c>
      <c r="J15" s="33" t="str">
        <f>IF(Table48[[#This Row],[Amount]]&gt;=40000,"10% OFF",IF(Table48[[#This Row],[Amount]]&gt;=30000,"5% OFF","No Discount"))</f>
        <v>5% OFF</v>
      </c>
      <c r="K15" s="55" cm="1">
        <f t="array" ref="K15">_xlfn.IFS(Table48[[#This Row],[Discount]]="10% OFF", Table48[[#This Row],[Amount]]*10%,Table48[[#This Row],[Discount]]="5% OFF",Table48[[#This Row],[Amount]]*5%,Table48[[#This Row],[Discount]]="No Discount", 0)</f>
        <v>1780.5500000000002</v>
      </c>
      <c r="L15" s="33">
        <f>ROUND(Table48[[#This Row],[Discount Amount]],0)</f>
        <v>1781</v>
      </c>
      <c r="M15" s="33">
        <f>CEILING(Table48[[#This Row],[Discount Amount]],100)</f>
        <v>1800</v>
      </c>
      <c r="N15" s="33">
        <f>FLOOR(Table48[[#This Row],[Discount Amount]],100)</f>
        <v>1700</v>
      </c>
      <c r="P15" s="41" t="s">
        <v>124</v>
      </c>
      <c r="Q15" s="19" t="str">
        <f>VLOOKUP(P15,P5:R9,2,0)</f>
        <v>Mouse</v>
      </c>
      <c r="R15" s="42">
        <f>VLOOKUP(P15,P5:R9,3,0)</f>
        <v>5277</v>
      </c>
      <c r="T15" s="80" t="s">
        <v>137</v>
      </c>
      <c r="U15" s="80"/>
    </row>
    <row r="16" spans="2:25" x14ac:dyDescent="0.3">
      <c r="B16" s="37">
        <v>2013</v>
      </c>
      <c r="C16" s="33" t="s">
        <v>120</v>
      </c>
      <c r="D16" s="33" t="s">
        <v>110</v>
      </c>
      <c r="E16" s="33" t="s">
        <v>138</v>
      </c>
      <c r="F16" s="38">
        <v>15560</v>
      </c>
      <c r="G16" s="40">
        <v>45107</v>
      </c>
      <c r="H16" s="33" t="str">
        <f>TEXT(Table48[[#This Row],[Date]],"MMM")</f>
        <v>Jun</v>
      </c>
      <c r="I16" s="33" t="str">
        <f>TEXT(Table48[[#This Row],[Date]],"DDD")</f>
        <v>Fri</v>
      </c>
      <c r="J16" s="33" t="str">
        <f>IF(Table48[[#This Row],[Amount]]&gt;=40000,"10% OFF",IF(Table48[[#This Row],[Amount]]&gt;=30000,"5% OFF","No Discount"))</f>
        <v>No Discount</v>
      </c>
      <c r="K16" s="55" cm="1">
        <f t="array" ref="K16">_xlfn.IFS(Table48[[#This Row],[Discount]]="10% OFF", Table48[[#This Row],[Amount]]*10%,Table48[[#This Row],[Discount]]="5% OFF",Table48[[#This Row],[Amount]]*5%,Table48[[#This Row],[Discount]]="No Discount", 0)</f>
        <v>0</v>
      </c>
      <c r="L16" s="33">
        <f>ROUND(Table48[[#This Row],[Discount Amount]],0)</f>
        <v>0</v>
      </c>
      <c r="M16" s="33">
        <f>CEILING(Table48[[#This Row],[Discount Amount]],100)</f>
        <v>0</v>
      </c>
      <c r="N16" s="33">
        <f>FLOOR(Table48[[#This Row],[Discount Amount]],100)</f>
        <v>0</v>
      </c>
      <c r="T16" s="41" t="s">
        <v>89</v>
      </c>
      <c r="U16" s="19">
        <v>2001</v>
      </c>
    </row>
    <row r="17" spans="2:21" x14ac:dyDescent="0.3">
      <c r="B17" s="37">
        <v>2014</v>
      </c>
      <c r="C17" s="33" t="s">
        <v>120</v>
      </c>
      <c r="D17" s="33" t="s">
        <v>105</v>
      </c>
      <c r="E17" s="33" t="s">
        <v>139</v>
      </c>
      <c r="F17" s="38">
        <v>7283</v>
      </c>
      <c r="G17" s="40">
        <v>45122</v>
      </c>
      <c r="H17" s="33" t="str">
        <f>TEXT(Table48[[#This Row],[Date]],"MMM")</f>
        <v>Jul</v>
      </c>
      <c r="I17" s="33" t="str">
        <f>TEXT(Table48[[#This Row],[Date]],"DDD")</f>
        <v>Sat</v>
      </c>
      <c r="J17" s="33" t="str">
        <f>IF(Table48[[#This Row],[Amount]]&gt;=40000,"10% OFF",IF(Table48[[#This Row],[Amount]]&gt;=30000,"5% OFF","No Discount"))</f>
        <v>No Discount</v>
      </c>
      <c r="K17" s="55" cm="1">
        <f t="array" ref="K17">_xlfn.IFS(Table48[[#This Row],[Discount]]="10% OFF", Table48[[#This Row],[Amount]]*10%,Table48[[#This Row],[Discount]]="5% OFF",Table48[[#This Row],[Amount]]*5%,Table48[[#This Row],[Discount]]="No Discount", 0)</f>
        <v>0</v>
      </c>
      <c r="L17" s="33">
        <f>ROUND(Table48[[#This Row],[Discount Amount]],0)</f>
        <v>0</v>
      </c>
      <c r="M17" s="33">
        <f>CEILING(Table48[[#This Row],[Discount Amount]],100)</f>
        <v>0</v>
      </c>
      <c r="N17" s="33">
        <f>FLOOR(Table48[[#This Row],[Discount Amount]],100)</f>
        <v>0</v>
      </c>
      <c r="P17" s="78" t="s">
        <v>140</v>
      </c>
      <c r="Q17" s="78" t="s">
        <v>141</v>
      </c>
      <c r="R17" s="78" t="s">
        <v>142</v>
      </c>
      <c r="T17" s="41" t="s">
        <v>143</v>
      </c>
      <c r="U17" s="42">
        <f>VLOOKUP(U16,Table48[[Sales ID]:[Amount]],5,0)</f>
        <v>7048</v>
      </c>
    </row>
    <row r="18" spans="2:21" x14ac:dyDescent="0.3">
      <c r="B18" s="37">
        <v>2015</v>
      </c>
      <c r="C18" s="33" t="s">
        <v>120</v>
      </c>
      <c r="D18" s="33" t="s">
        <v>110</v>
      </c>
      <c r="E18" s="33" t="s">
        <v>144</v>
      </c>
      <c r="F18" s="38">
        <v>15678</v>
      </c>
      <c r="G18" s="40">
        <v>45137</v>
      </c>
      <c r="H18" s="33" t="str">
        <f>TEXT(Table48[[#This Row],[Date]],"MMM")</f>
        <v>Jul</v>
      </c>
      <c r="I18" s="33" t="str">
        <f>TEXT(Table48[[#This Row],[Date]],"DDD")</f>
        <v>Sun</v>
      </c>
      <c r="J18" s="33" t="str">
        <f>IF(Table48[[#This Row],[Amount]]&gt;=40000,"10% OFF",IF(Table48[[#This Row],[Amount]]&gt;=30000,"5% OFF","No Discount"))</f>
        <v>No Discount</v>
      </c>
      <c r="K18" s="55" cm="1">
        <f t="array" ref="K18">_xlfn.IFS(Table48[[#This Row],[Discount]]="10% OFF", Table48[[#This Row],[Amount]]*10%,Table48[[#This Row],[Discount]]="5% OFF",Table48[[#This Row],[Amount]]*5%,Table48[[#This Row],[Discount]]="No Discount", 0)</f>
        <v>0</v>
      </c>
      <c r="L18" s="33">
        <f>ROUND(Table48[[#This Row],[Discount Amount]],0)</f>
        <v>0</v>
      </c>
      <c r="M18" s="33">
        <f>CEILING(Table48[[#This Row],[Discount Amount]],100)</f>
        <v>0</v>
      </c>
      <c r="N18" s="33">
        <f>FLOOR(Table48[[#This Row],[Discount Amount]],100)</f>
        <v>0</v>
      </c>
      <c r="P18" s="19" t="str">
        <f>LEFT(Table48[[#This Row],[Salesperson]],FIND(" ",Table48[[#This Row],[Salesperson]])-1)</f>
        <v>Person</v>
      </c>
      <c r="Q18" s="19" t="str">
        <f>UPPER(P18)</f>
        <v>PERSON</v>
      </c>
      <c r="R18" s="19" t="str">
        <f>LOWER(P18)</f>
        <v>person</v>
      </c>
    </row>
    <row r="19" spans="2:21" x14ac:dyDescent="0.3">
      <c r="B19" s="37">
        <v>2016</v>
      </c>
      <c r="C19" s="33" t="s">
        <v>117</v>
      </c>
      <c r="D19" s="33" t="s">
        <v>110</v>
      </c>
      <c r="E19" s="33" t="s">
        <v>145</v>
      </c>
      <c r="F19" s="38">
        <v>5277</v>
      </c>
      <c r="G19" s="40">
        <v>45152</v>
      </c>
      <c r="H19" s="33" t="str">
        <f>TEXT(Table48[[#This Row],[Date]],"MMM")</f>
        <v>Aug</v>
      </c>
      <c r="I19" s="33" t="str">
        <f>TEXT(Table48[[#This Row],[Date]],"DDD")</f>
        <v>Mon</v>
      </c>
      <c r="J19" s="33" t="str">
        <f>IF(Table48[[#This Row],[Amount]]&gt;=40000,"10% OFF",IF(Table48[[#This Row],[Amount]]&gt;=30000,"5% OFF","No Discount"))</f>
        <v>No Discount</v>
      </c>
      <c r="K19" s="55" cm="1">
        <f t="array" ref="K19">_xlfn.IFS(Table48[[#This Row],[Discount]]="10% OFF", Table48[[#This Row],[Amount]]*10%,Table48[[#This Row],[Discount]]="5% OFF",Table48[[#This Row],[Amount]]*5%,Table48[[#This Row],[Discount]]="No Discount", 0)</f>
        <v>0</v>
      </c>
      <c r="L19" s="33">
        <f>ROUND(Table48[[#This Row],[Discount Amount]],0)</f>
        <v>0</v>
      </c>
      <c r="M19" s="33">
        <f>CEILING(Table48[[#This Row],[Discount Amount]],100)</f>
        <v>0</v>
      </c>
      <c r="N19" s="33">
        <f>FLOOR(Table48[[#This Row],[Discount Amount]],100)</f>
        <v>0</v>
      </c>
      <c r="T19" s="80" t="s">
        <v>55</v>
      </c>
      <c r="U19" s="80"/>
    </row>
    <row r="20" spans="2:21" x14ac:dyDescent="0.3">
      <c r="B20" s="37">
        <v>2018</v>
      </c>
      <c r="C20" s="33" t="s">
        <v>115</v>
      </c>
      <c r="D20" s="33" t="s">
        <v>112</v>
      </c>
      <c r="E20" s="33" t="s">
        <v>146</v>
      </c>
      <c r="F20" s="38">
        <v>38161</v>
      </c>
      <c r="G20" s="40">
        <v>45182</v>
      </c>
      <c r="H20" s="33" t="str">
        <f>TEXT(Table48[[#This Row],[Date]],"MMM")</f>
        <v>Sep</v>
      </c>
      <c r="I20" s="33" t="str">
        <f>TEXT(Table48[[#This Row],[Date]],"DDD")</f>
        <v>Wed</v>
      </c>
      <c r="J20" s="33" t="str">
        <f>IF(Table48[[#This Row],[Amount]]&gt;=40000,"10% OFF",IF(Table48[[#This Row],[Amount]]&gt;=30000,"5% OFF","No Discount"))</f>
        <v>5% OFF</v>
      </c>
      <c r="K20" s="55" cm="1">
        <f t="array" ref="K20">_xlfn.IFS(Table48[[#This Row],[Discount]]="10% OFF", Table48[[#This Row],[Amount]]*10%,Table48[[#This Row],[Discount]]="5% OFF",Table48[[#This Row],[Amount]]*5%,Table48[[#This Row],[Discount]]="No Discount", 0)</f>
        <v>1908.0500000000002</v>
      </c>
      <c r="L20" s="33">
        <f>ROUND(Table48[[#This Row],[Discount Amount]],0)</f>
        <v>1908</v>
      </c>
      <c r="M20" s="33">
        <f>CEILING(Table48[[#This Row],[Discount Amount]],100)</f>
        <v>2000</v>
      </c>
      <c r="N20" s="33">
        <f>FLOOR(Table48[[#This Row],[Discount Amount]],100)</f>
        <v>1900</v>
      </c>
      <c r="P20" s="80" t="s">
        <v>147</v>
      </c>
      <c r="Q20" s="80"/>
      <c r="T20" s="41" t="s">
        <v>148</v>
      </c>
      <c r="U20" s="19" t="str">
        <f>_xlfn.XLOOKUP(2010,Table48[Sales ID],Table48[Salesperson],"Not Found")</f>
        <v>Person 10</v>
      </c>
    </row>
    <row r="21" spans="2:21" x14ac:dyDescent="0.3">
      <c r="B21" s="37">
        <v>2017</v>
      </c>
      <c r="C21" s="33" t="s">
        <v>115</v>
      </c>
      <c r="D21" s="33" t="s">
        <v>116</v>
      </c>
      <c r="E21" s="33" t="s">
        <v>149</v>
      </c>
      <c r="F21" s="38">
        <v>41871</v>
      </c>
      <c r="G21" s="40">
        <v>45167</v>
      </c>
      <c r="H21" s="33" t="str">
        <f>TEXT(Table48[[#This Row],[Date]],"MMM")</f>
        <v>Aug</v>
      </c>
      <c r="I21" s="33" t="str">
        <f>TEXT(Table48[[#This Row],[Date]],"DDD")</f>
        <v>Tue</v>
      </c>
      <c r="J21" s="33" t="str">
        <f>IF(Table48[[#This Row],[Amount]]&gt;=40000,"10% OFF",IF(Table48[[#This Row],[Amount]]&gt;=30000,"5% OFF","No Discount"))</f>
        <v>10% OFF</v>
      </c>
      <c r="K21" s="55" cm="1">
        <f t="array" ref="K21">_xlfn.IFS(Table48[[#This Row],[Discount]]="10% OFF", Table48[[#This Row],[Amount]]*10%,Table48[[#This Row],[Discount]]="5% OFF",Table48[[#This Row],[Amount]]*5%,Table48[[#This Row],[Discount]]="No Discount", 0)</f>
        <v>4187.1000000000004</v>
      </c>
      <c r="L21" s="33">
        <f>ROUND(Table48[[#This Row],[Discount Amount]],0)</f>
        <v>4187</v>
      </c>
      <c r="M21" s="33">
        <f>CEILING(Table48[[#This Row],[Discount Amount]],100)</f>
        <v>4200</v>
      </c>
      <c r="N21" s="33">
        <f>FLOOR(Table48[[#This Row],[Discount Amount]],100)</f>
        <v>4100</v>
      </c>
      <c r="P21" s="41" t="s">
        <v>89</v>
      </c>
      <c r="Q21" s="19">
        <v>2009</v>
      </c>
      <c r="T21" s="41" t="s">
        <v>150</v>
      </c>
      <c r="U21" s="19" t="str">
        <f>_xlfn.XLOOKUP(U20,Table48[Salesperson],Table48[Product],"Not Found")</f>
        <v>Keyboard</v>
      </c>
    </row>
    <row r="22" spans="2:21" x14ac:dyDescent="0.3">
      <c r="B22" s="37">
        <v>2019</v>
      </c>
      <c r="C22" s="33" t="s">
        <v>117</v>
      </c>
      <c r="D22" s="33" t="s">
        <v>112</v>
      </c>
      <c r="E22" s="33" t="s">
        <v>151</v>
      </c>
      <c r="F22" s="38">
        <v>30436</v>
      </c>
      <c r="G22" s="40">
        <v>45197</v>
      </c>
      <c r="H22" s="33" t="str">
        <f>TEXT(Table48[[#This Row],[Date]],"MMM")</f>
        <v>Sep</v>
      </c>
      <c r="I22" s="33" t="str">
        <f>TEXT(Table48[[#This Row],[Date]],"DDD")</f>
        <v>Thu</v>
      </c>
      <c r="J22" s="33" t="str">
        <f>IF(Table48[[#This Row],[Amount]]&gt;=40000,"10% OFF",IF(Table48[[#This Row],[Amount]]&gt;=30000,"5% OFF","No Discount"))</f>
        <v>5% OFF</v>
      </c>
      <c r="K22" s="55" cm="1">
        <f t="array" ref="K22">_xlfn.IFS(Table48[[#This Row],[Discount]]="10% OFF", Table48[[#This Row],[Amount]]*10%,Table48[[#This Row],[Discount]]="5% OFF",Table48[[#This Row],[Amount]]*5%,Table48[[#This Row],[Discount]]="No Discount", 0)</f>
        <v>1521.8000000000002</v>
      </c>
      <c r="L22" s="33">
        <f>ROUND(Table48[[#This Row],[Discount Amount]],0)</f>
        <v>1522</v>
      </c>
      <c r="M22" s="33">
        <f>CEILING(Table48[[#This Row],[Discount Amount]],100)</f>
        <v>1600</v>
      </c>
      <c r="N22" s="33">
        <f>FLOOR(Table48[[#This Row],[Discount Amount]],100)</f>
        <v>1500</v>
      </c>
      <c r="P22" s="41" t="s">
        <v>152</v>
      </c>
      <c r="Q22" s="19" t="str">
        <f>INDEX(Table48[Salesperson], MATCH(Q21,Table48[Sales ID],0))</f>
        <v>Person 9</v>
      </c>
    </row>
    <row r="23" spans="2:21" x14ac:dyDescent="0.3">
      <c r="B23" s="37">
        <v>2020</v>
      </c>
      <c r="C23" s="33" t="s">
        <v>111</v>
      </c>
      <c r="D23" s="33" t="s">
        <v>112</v>
      </c>
      <c r="E23" s="33" t="s">
        <v>153</v>
      </c>
      <c r="F23" s="38">
        <v>33953</v>
      </c>
      <c r="G23" s="40">
        <v>45212</v>
      </c>
      <c r="H23" s="33" t="str">
        <f>TEXT(Table48[[#This Row],[Date]],"MMM")</f>
        <v>Oct</v>
      </c>
      <c r="I23" s="33" t="str">
        <f>TEXT(Table48[[#This Row],[Date]],"DDD")</f>
        <v>Fri</v>
      </c>
      <c r="J23" s="33" t="str">
        <f>IF(Table48[[#This Row],[Amount]]&gt;=40000,"10% OFF",IF(Table48[[#This Row],[Amount]]&gt;=30000,"5% OFF","No Discount"))</f>
        <v>5% OFF</v>
      </c>
      <c r="K23" s="55" cm="1">
        <f t="array" ref="K23">_xlfn.IFS(Table48[[#This Row],[Discount]]="10% OFF", Table48[[#This Row],[Amount]]*10%,Table48[[#This Row],[Discount]]="5% OFF",Table48[[#This Row],[Amount]]*5%,Table48[[#This Row],[Discount]]="No Discount", 0)</f>
        <v>1697.65</v>
      </c>
      <c r="L23" s="53">
        <f>ROUND(Table48[[#This Row],[Discount Amount]],0)</f>
        <v>1698</v>
      </c>
      <c r="M23" s="53">
        <f>CEILING(Table48[[#This Row],[Discount Amount]],100)</f>
        <v>1700</v>
      </c>
      <c r="N23" s="53">
        <f>FLOOR(Table48[[#This Row],[Discount Amount]],100)</f>
        <v>1600</v>
      </c>
    </row>
    <row r="24" spans="2:21" x14ac:dyDescent="0.3">
      <c r="P24" s="80" t="s">
        <v>154</v>
      </c>
      <c r="Q24" s="80"/>
      <c r="T24" s="80" t="s">
        <v>155</v>
      </c>
      <c r="U24" s="80"/>
    </row>
    <row r="25" spans="2:21" x14ac:dyDescent="0.3">
      <c r="P25" s="41" t="s">
        <v>104</v>
      </c>
      <c r="Q25" s="19">
        <f>_xlfn.XMATCH("Keyboard",Table48[Product])</f>
        <v>1</v>
      </c>
      <c r="T25" s="41" t="s">
        <v>156</v>
      </c>
      <c r="U25" s="19">
        <f ca="1">OFFSET(B6,2,0)</f>
        <v>2005</v>
      </c>
    </row>
    <row r="26" spans="2:21" x14ac:dyDescent="0.3">
      <c r="P26" s="41" t="s">
        <v>111</v>
      </c>
      <c r="Q26" s="19">
        <f>_xlfn.XMATCH("Printer",Table48[Product])</f>
        <v>2</v>
      </c>
      <c r="T26" s="41" t="s">
        <v>157</v>
      </c>
      <c r="U26" s="19" cm="1">
        <f t="array" aca="1" ref="U26" ca="1">INDIRECT("B6")</f>
        <v>2003</v>
      </c>
    </row>
    <row r="27" spans="2:21" x14ac:dyDescent="0.3">
      <c r="P27" s="41" t="s">
        <v>117</v>
      </c>
      <c r="Q27" s="19">
        <f>_xlfn.XMATCH("Mouse",Table48[Product])</f>
        <v>3</v>
      </c>
    </row>
    <row r="28" spans="2:21" x14ac:dyDescent="0.3">
      <c r="P28" s="41" t="s">
        <v>115</v>
      </c>
      <c r="Q28" s="19">
        <f>_xlfn.XMATCH("Monitor",Table48[Product])</f>
        <v>12</v>
      </c>
    </row>
    <row r="29" spans="2:21" x14ac:dyDescent="0.3">
      <c r="P29" s="41" t="s">
        <v>120</v>
      </c>
      <c r="Q29" s="19">
        <f>_xlfn.XMATCH("Laptop",Table48[Product])</f>
        <v>13</v>
      </c>
    </row>
  </sheetData>
  <mergeCells count="9">
    <mergeCell ref="P20:Q20"/>
    <mergeCell ref="P24:Q24"/>
    <mergeCell ref="T24:U24"/>
    <mergeCell ref="P3:R3"/>
    <mergeCell ref="T3:U3"/>
    <mergeCell ref="T9:U9"/>
    <mergeCell ref="P11:R11"/>
    <mergeCell ref="T15:U15"/>
    <mergeCell ref="T19:U1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Student_Grade</vt:lpstr>
      <vt:lpstr>Employees_data</vt:lpstr>
      <vt:lpstr>Sales_dat</vt:lpstr>
      <vt:lpstr>Employees_data!Print_Area</vt:lpstr>
      <vt:lpstr>Student_Grade!Print_Area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ravindra kumar</dc:creator>
  <cp:keywords/>
  <dc:description/>
  <cp:lastModifiedBy>ravindra kumar</cp:lastModifiedBy>
  <cp:revision/>
  <dcterms:created xsi:type="dcterms:W3CDTF">2026-03-19T06:23:26Z</dcterms:created>
  <dcterms:modified xsi:type="dcterms:W3CDTF">2026-04-03T10:42:57Z</dcterms:modified>
  <cp:category/>
  <cp:contentStatus/>
</cp:coreProperties>
</file>